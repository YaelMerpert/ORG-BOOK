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ctlnfsv01\users$\yaelme\ORGANIZE\"/>
    </mc:Choice>
  </mc:AlternateContent>
  <xr:revisionPtr revIDLastSave="0" documentId="8_{410FF576-E18C-45AD-B56C-4826ABB45D7A}" xr6:coauthVersionLast="47" xr6:coauthVersionMax="47" xr10:uidLastSave="{00000000-0000-0000-0000-000000000000}"/>
  <bookViews>
    <workbookView xWindow="-110" yWindow="-110" windowWidth="19420" windowHeight="11620" tabRatio="925" xr2:uid="{996EF6E2-ED00-40E5-8653-B2F048CB52A6}"/>
  </bookViews>
  <sheets>
    <sheet name="LIST OF SQL SERVERS" sheetId="1" r:id="rId1"/>
    <sheet name="RDS_INFO" sheetId="28" r:id="rId2"/>
    <sheet name="AWS RDS Settings" sheetId="13" r:id="rId3"/>
    <sheet name="OpenPorts" sheetId="32" r:id="rId4"/>
    <sheet name="IP list" sheetId="5" r:id="rId5"/>
    <sheet name="Queue" sheetId="24" r:id="rId6"/>
    <sheet name="INDEXES" sheetId="25" r:id="rId7"/>
    <sheet name="MODULES" sheetId="27" r:id="rId8"/>
    <sheet name="Projects_-Jobs" sheetId="23" r:id="rId9"/>
    <sheet name="ArchiveTab" sheetId="21" r:id="rId10"/>
    <sheet name="Timming" sheetId="31" r:id="rId11"/>
    <sheet name="TimingRDS" sheetId="19" r:id="rId12"/>
    <sheet name="AWS_resorces" sheetId="15" r:id="rId13"/>
    <sheet name="CloudProjects" sheetId="6" r:id="rId14"/>
    <sheet name="Stucture_Billing_tabs_GCP" sheetId="9" r:id="rId15"/>
    <sheet name="CreatingTabsBQ" sheetId="10" r:id="rId16"/>
    <sheet name="GIRSAOT" sheetId="3" r:id="rId17"/>
    <sheet name="CMD_CL" sheetId="18" r:id="rId18"/>
    <sheet name="PowerShell" sheetId="8" r:id="rId19"/>
    <sheet name="to_repl" sheetId="4" r:id="rId20"/>
  </sheets>
  <definedNames>
    <definedName name="_xlnm._FilterDatabase" localSheetId="12" hidden="1">AWS_resorces!$A$1:$L$48</definedName>
    <definedName name="_xlnm._FilterDatabase" localSheetId="4" hidden="1">'IP list'!$A$1:$K$179</definedName>
    <definedName name="_xlnm._FilterDatabase" localSheetId="7" hidden="1">MODULES!$A$2:$U$77</definedName>
    <definedName name="_xlnm._FilterDatabase" localSheetId="19" hidden="1">to_repl!$A$3:$N$3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1" l="1"/>
  <c r="G37" i="31"/>
  <c r="F37" i="31"/>
  <c r="E37" i="31"/>
  <c r="D37" i="31"/>
  <c r="H26" i="31"/>
  <c r="G26" i="31"/>
  <c r="F26" i="31"/>
  <c r="E26" i="31"/>
  <c r="D26" i="31"/>
  <c r="L7" i="21" l="1"/>
  <c r="H25" i="19"/>
  <c r="F37" i="19"/>
  <c r="G37" i="19"/>
  <c r="H37" i="19"/>
  <c r="I37" i="19"/>
  <c r="E37" i="19"/>
  <c r="D37" i="19"/>
  <c r="C37" i="19"/>
  <c r="G43" i="19"/>
  <c r="G25" i="19"/>
  <c r="F25" i="19"/>
  <c r="I25" i="19"/>
  <c r="E25" i="19"/>
  <c r="D25" i="19"/>
  <c r="C25" i="19"/>
  <c r="C43" i="19"/>
  <c r="D43" i="19"/>
  <c r="E43" i="19"/>
  <c r="F43" i="19"/>
  <c r="I43" i="19"/>
  <c r="I72" i="19"/>
  <c r="M49" i="1"/>
  <c r="I65" i="19" l="1"/>
  <c r="C65" i="19"/>
  <c r="G65" i="19"/>
  <c r="F65" i="19"/>
  <c r="E65" i="19"/>
  <c r="D65" i="19"/>
  <c r="I66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tc={13448795-27E3-4917-B3F7-3C81EF11EC17}</author>
    <author>tc={D78C2EEE-C9A8-432F-983C-5ED1F7AFD1C2}</author>
  </authors>
  <commentList>
    <comment ref="H5" authorId="0" shapeId="0" xr:uid="{13448795-27E3-4917-B3F7-3C81EF11EC1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
Reply:
    2020 -01:46</t>
      </text>
    </comment>
    <comment ref="H6" authorId="1" shapeId="0" xr:uid="{D78C2EEE-C9A8-432F-983C-5ED1F7AFD1C2}">
      <text>
        <t>[Threaded comment]
Your version of Excel allows you to read this threaded comment; however, any edits to it will get removed if the file is opened in a newer version of Excel. Learn more: https://go.microsoft.com/fwlink/?linkid=870924
Comment:
    15min - 2019</t>
      </text>
    </comment>
  </commentList>
</comments>
</file>

<file path=xl/sharedStrings.xml><?xml version="1.0" encoding="utf-8"?>
<sst xmlns="http://schemas.openxmlformats.org/spreadsheetml/2006/main" count="4037" uniqueCount="1791">
  <si>
    <t>CTLSQLBAMA03</t>
  </si>
  <si>
    <t>PRODUCTION</t>
  </si>
  <si>
    <t>CTLSQLBAMAN01</t>
  </si>
  <si>
    <t>CTLSQLBI01</t>
  </si>
  <si>
    <t>CTLSQLBI02</t>
  </si>
  <si>
    <t>CTLSQLBP01</t>
  </si>
  <si>
    <t>CTLSQLBPM01</t>
  </si>
  <si>
    <t>CTLSQLDOCU02-OLD</t>
  </si>
  <si>
    <t>CTLSQLDOCU01</t>
  </si>
  <si>
    <t>CTLSQLFAX01</t>
  </si>
  <si>
    <t>CTLSQLOLV01</t>
  </si>
  <si>
    <t>CTLSQLREP01</t>
  </si>
  <si>
    <t>CTLSQLSBO01</t>
  </si>
  <si>
    <t>CTLSQLSENTRY01</t>
  </si>
  <si>
    <t>CTLSQLSPS01</t>
  </si>
  <si>
    <t>CTLSQLBAMAML01</t>
  </si>
  <si>
    <t>CTLSQLSNT01</t>
  </si>
  <si>
    <t>IDCSQLBAMA01-OLD</t>
  </si>
  <si>
    <t>IDCSQLBAMA02</t>
  </si>
  <si>
    <t>IDCSQLSCOM01</t>
  </si>
  <si>
    <t>DOMAIN</t>
  </si>
  <si>
    <t>IP</t>
  </si>
  <si>
    <t>ROLE</t>
  </si>
  <si>
    <t>REPL</t>
  </si>
  <si>
    <t>COMMENT</t>
  </si>
  <si>
    <t>PRE PROD</t>
  </si>
  <si>
    <t>CTLPRSQLREP02</t>
  </si>
  <si>
    <t>CTLPRSQLBAMA02</t>
  </si>
  <si>
    <t>CTLPRSQLBP01</t>
  </si>
  <si>
    <t>CTLPRSQLBPM01</t>
  </si>
  <si>
    <t>CTLPRSQLDOCU01</t>
  </si>
  <si>
    <t>CTLPRSQLREP01</t>
  </si>
  <si>
    <t>CTLPRSQLSBO01</t>
  </si>
  <si>
    <t>STAGING</t>
  </si>
  <si>
    <t>EDCSTGSQLBAMA02</t>
  </si>
  <si>
    <t>EDCSTGSQLDCTM02</t>
  </si>
  <si>
    <t>EDCSTGSQLBP01</t>
  </si>
  <si>
    <t>EDCSTGSQLBP02</t>
  </si>
  <si>
    <t>EDCSTGSQLDOCU03</t>
  </si>
  <si>
    <t>EDCSTGSQLREP01</t>
  </si>
  <si>
    <t>EDCSTGSQLSBO02</t>
  </si>
  <si>
    <t>IDCSTGSQLBAMA02</t>
  </si>
  <si>
    <t>192.168.11.19</t>
  </si>
  <si>
    <t>EDCS</t>
  </si>
  <si>
    <t>IDCS</t>
  </si>
  <si>
    <t>EDC</t>
  </si>
  <si>
    <t>MAIN INT</t>
  </si>
  <si>
    <t>MAIN EXT</t>
  </si>
  <si>
    <t>DEVELOPMENT</t>
  </si>
  <si>
    <t>NAME</t>
  </si>
  <si>
    <t>Yael</t>
  </si>
  <si>
    <t>VER</t>
  </si>
  <si>
    <t>IDC</t>
  </si>
  <si>
    <t>CTLPRSQL</t>
  </si>
  <si>
    <t>CTLSQL</t>
  </si>
  <si>
    <t>IDCSQL</t>
  </si>
  <si>
    <t>172.25.</t>
  </si>
  <si>
    <t>10.51.</t>
  </si>
  <si>
    <t>10.55.</t>
  </si>
  <si>
    <t>EDCSTGSQL</t>
  </si>
  <si>
    <t>IDCSTGSQL</t>
  </si>
  <si>
    <t>DATA</t>
  </si>
  <si>
    <t>M:\</t>
  </si>
  <si>
    <t>LOG</t>
  </si>
  <si>
    <t>L:\</t>
  </si>
  <si>
    <t>T:\</t>
  </si>
  <si>
    <t>Trace</t>
  </si>
  <si>
    <t>S:\ or Q:\</t>
  </si>
  <si>
    <t>TempDb</t>
  </si>
  <si>
    <t>m\s\n:\</t>
  </si>
  <si>
    <t>DBs:</t>
  </si>
  <si>
    <t>DISKS:</t>
  </si>
  <si>
    <t>reports</t>
  </si>
  <si>
    <t>appl,sbo,payments</t>
  </si>
  <si>
    <t>context,documents</t>
  </si>
  <si>
    <t>CTLSQLBAMA03\CTLSQLBAMA2016</t>
  </si>
  <si>
    <t>10.51.11.36</t>
  </si>
  <si>
    <t>10.51.11.51</t>
  </si>
  <si>
    <t>10.51.11.76</t>
  </si>
  <si>
    <t>10.51.11.74</t>
  </si>
  <si>
    <t>10.51.11.94</t>
  </si>
  <si>
    <t>10.51.11.83</t>
  </si>
  <si>
    <t>172.25.20.15</t>
  </si>
  <si>
    <t>172.25.20.17</t>
  </si>
  <si>
    <t>NGCS_EDC</t>
  </si>
  <si>
    <t>main for EDC</t>
  </si>
  <si>
    <t>main for IDC</t>
  </si>
  <si>
    <t>NGCS_IDC</t>
  </si>
  <si>
    <t>NGCS_IDC_OPS</t>
  </si>
  <si>
    <t>מומחים ציבורי</t>
  </si>
  <si>
    <t>NGCS_INFRASTRUCTURE</t>
  </si>
  <si>
    <t>global param</t>
  </si>
  <si>
    <t>READ ONLY!</t>
  </si>
  <si>
    <t>Backups</t>
  </si>
  <si>
    <t>DMZ</t>
  </si>
  <si>
    <r>
      <rPr>
        <b/>
        <sz val="12"/>
        <color indexed="57"/>
        <rFont val="Calibri"/>
        <family val="2"/>
      </rPr>
      <t>IDC</t>
    </r>
    <r>
      <rPr>
        <sz val="11"/>
        <color theme="1"/>
        <rFont val="Calibri"/>
        <family val="2"/>
        <scheme val="minor"/>
      </rPr>
      <t xml:space="preserve"> - security,app,mobile,soft</t>
    </r>
  </si>
  <si>
    <t>VM BU - ACTIFIO</t>
  </si>
  <si>
    <t>OS - 21:30</t>
  </si>
  <si>
    <t>DB - 01:00</t>
  </si>
  <si>
    <t>DEV - STG</t>
  </si>
  <si>
    <t>STG-PR</t>
  </si>
  <si>
    <t>Irit,Limor</t>
  </si>
  <si>
    <t>Noa</t>
  </si>
  <si>
    <t>CC</t>
  </si>
  <si>
    <t>Noa(PMO)</t>
  </si>
  <si>
    <t>APP+SQL</t>
  </si>
  <si>
    <t>Roye</t>
  </si>
  <si>
    <t>DBA DEV</t>
  </si>
  <si>
    <t>Arik</t>
  </si>
  <si>
    <t>K2BP(BlackPerl),תהליכים,משימות</t>
  </si>
  <si>
    <t>SCOM</t>
  </si>
  <si>
    <t>FP,SP?</t>
  </si>
  <si>
    <t>Convention:</t>
  </si>
  <si>
    <t>T</t>
  </si>
  <si>
    <t>schema,tabs,indexes</t>
  </si>
  <si>
    <t>S</t>
  </si>
  <si>
    <t>store procs, view ect</t>
  </si>
  <si>
    <t>D</t>
  </si>
  <si>
    <t>data</t>
  </si>
  <si>
    <t>X</t>
  </si>
  <si>
    <t>special</t>
  </si>
  <si>
    <t>10.51.10.121</t>
  </si>
  <si>
    <t>10.55.10.109</t>
  </si>
  <si>
    <t xml:space="preserve"> NAME</t>
  </si>
  <si>
    <t>CTLPRSQLETL01</t>
  </si>
  <si>
    <t>IDCSTGSQLBAMA01</t>
  </si>
  <si>
    <t>192.168.11.54</t>
  </si>
  <si>
    <t>192.168.11.60</t>
  </si>
  <si>
    <t>192.168.11.61</t>
  </si>
  <si>
    <t>192.168.11.40</t>
  </si>
  <si>
    <t>192.168.11.6</t>
  </si>
  <si>
    <t>192.168.111.1</t>
  </si>
  <si>
    <t>192.168.11.52</t>
  </si>
  <si>
    <t>EDCSTGSQLDOCU03\</t>
  </si>
  <si>
    <t>SIZE STORAGE</t>
  </si>
  <si>
    <t>10.51.11.217</t>
  </si>
  <si>
    <t>DISK forDB  Folders:</t>
  </si>
  <si>
    <t>Config</t>
  </si>
  <si>
    <t>data for config tabs</t>
  </si>
  <si>
    <t>STG</t>
  </si>
  <si>
    <t>PR</t>
  </si>
  <si>
    <t>PROD</t>
  </si>
  <si>
    <t>L:\yael\girsa\DB\</t>
  </si>
  <si>
    <t>L:\Yael\Girsa</t>
  </si>
  <si>
    <t>\\10.51.11.217\L$\yael\girsa\DB\</t>
  </si>
  <si>
    <t>\\192.168.11.19\L$\Yael\Girsa</t>
  </si>
  <si>
    <t>10.51.15.101</t>
  </si>
  <si>
    <t>10.51.15.102</t>
  </si>
  <si>
    <t>10.51.15.103</t>
  </si>
  <si>
    <t xml:space="preserve">CTLEX01 </t>
  </si>
  <si>
    <t xml:space="preserve">CTLEX02 </t>
  </si>
  <si>
    <t>CTLEX03</t>
  </si>
  <si>
    <t>testing</t>
  </si>
  <si>
    <t>CTLSQLDOCU03</t>
  </si>
  <si>
    <t>10.51.11.53</t>
  </si>
  <si>
    <t>FULL INSTANCE NAME</t>
  </si>
  <si>
    <t>for Infrustructure EDC and IDC - 2DB Infractructure+Infractructure_New</t>
  </si>
  <si>
    <t>[NGCS_EDC_Reports]</t>
  </si>
  <si>
    <t>192.168.111.2</t>
  </si>
  <si>
    <t>MAIN EXT !!!</t>
  </si>
  <si>
    <t>10.51.11.22</t>
  </si>
  <si>
    <t>CTLPRSQLBAMA02\CTLPRSQLBAMA2016</t>
  </si>
  <si>
    <t>EDC\IDC\REPORTS</t>
  </si>
  <si>
    <t>192.168.30.30</t>
  </si>
  <si>
    <t>EDCSTGK2BO01</t>
  </si>
  <si>
    <t>TASKS - APP</t>
  </si>
  <si>
    <t>Object</t>
  </si>
  <si>
    <t>Requestor</t>
  </si>
  <si>
    <t>Request_Date</t>
  </si>
  <si>
    <t>ENV</t>
  </si>
  <si>
    <t>Shamai</t>
  </si>
  <si>
    <t>rt_Streets</t>
  </si>
  <si>
    <t>Rafa</t>
  </si>
  <si>
    <t>dt_GovCities</t>
  </si>
  <si>
    <t>rt_SmallClaimCourtsGroup</t>
  </si>
  <si>
    <t>Rows</t>
  </si>
  <si>
    <t>dt_OrderGuardian</t>
  </si>
  <si>
    <t>BAMA</t>
  </si>
  <si>
    <t>Release_Date</t>
  </si>
  <si>
    <t>Publ</t>
  </si>
  <si>
    <t>Size,Kb</t>
  </si>
  <si>
    <t>172.25.10.181</t>
  </si>
  <si>
    <t>AD IDC</t>
  </si>
  <si>
    <t>SP1-CU3 - KB4019916</t>
  </si>
  <si>
    <t>RTM</t>
  </si>
  <si>
    <t>(RTM-CU12) (KB5004524)</t>
  </si>
  <si>
    <t>(SP1) (KB3182545)</t>
  </si>
  <si>
    <t>CTLSQLDOCU03\DOCUTEST</t>
  </si>
  <si>
    <t>(SP2-CU17) (KB5001092)</t>
  </si>
  <si>
    <t>CU/SP</t>
  </si>
  <si>
    <t>rt_SmallClaimAdditionalRequirementsFromTheDefendant</t>
  </si>
  <si>
    <t>rt_SmallClaimCriteriaForChoosingCourtCity</t>
  </si>
  <si>
    <t>small</t>
  </si>
  <si>
    <t>gcp-dev-finops-mewest1-billing</t>
  </si>
  <si>
    <t>ai-services-401511</t>
  </si>
  <si>
    <t>backup-and-dr-cloud</t>
  </si>
  <si>
    <t>dgt-gcp-ilca-iac-core-0</t>
  </si>
  <si>
    <t>gcp-dev-netcourt-mewest1</t>
  </si>
  <si>
    <t>gcp-edcs-netcourt-mewest1</t>
  </si>
  <si>
    <t>gcp-pp-edc-netcourt-mewest1</t>
  </si>
  <si>
    <t>EDCSTGAPPLN01</t>
  </si>
  <si>
    <t>APIGEE</t>
  </si>
  <si>
    <t xml:space="preserve">192.168.17.xx </t>
  </si>
  <si>
    <t>BU on IDC</t>
  </si>
  <si>
    <t xml:space="preserve">CTLPRAPPLN01 </t>
  </si>
  <si>
    <t xml:space="preserve"> EDC </t>
  </si>
  <si>
    <t>ngcs-pdf-input-bucket-prod</t>
  </si>
  <si>
    <t>ngcs-pdf-output-bucket-prod</t>
  </si>
  <si>
    <t>BUCKET OCR</t>
  </si>
  <si>
    <t>Prod</t>
  </si>
  <si>
    <t>898-125-905277-F66E</t>
  </si>
  <si>
    <t>PROMPT</t>
  </si>
  <si>
    <t>gcp-prd-finops-mewest1-billing</t>
  </si>
  <si>
    <t>billing</t>
  </si>
  <si>
    <t>DEV</t>
  </si>
  <si>
    <t>PreProd</t>
  </si>
  <si>
    <t>192.168.17.51</t>
  </si>
  <si>
    <t xml:space="preserve"> EdcsApplCluster</t>
  </si>
  <si>
    <t>10.51.17 .11</t>
  </si>
  <si>
    <t>10.51.17 .10</t>
  </si>
  <si>
    <t>PreApplCluster</t>
  </si>
  <si>
    <t>APIGEE (תביעות קטנות )</t>
  </si>
  <si>
    <t>10.51.17.1</t>
  </si>
  <si>
    <t xml:space="preserve"> cluster  APP</t>
  </si>
  <si>
    <t xml:space="preserve"> cluster APP</t>
  </si>
  <si>
    <t xml:space="preserve"> EdcsApplCluster.Edcs.Stg.Net - cluster  APP</t>
  </si>
  <si>
    <t>ApplCluster</t>
  </si>
  <si>
    <t>10.51.17.3</t>
  </si>
  <si>
    <t>10.51.17.2</t>
  </si>
  <si>
    <t>CTLAPPLN02</t>
  </si>
  <si>
    <t>CTLAPPLN01</t>
  </si>
  <si>
    <t>CTLSQLBAMAML01.EDC.NGCS.NET</t>
  </si>
  <si>
    <t>10.51.11.42</t>
  </si>
  <si>
    <t>CTLCDC01</t>
  </si>
  <si>
    <t>10.51.16.4</t>
  </si>
  <si>
    <t>Storage</t>
  </si>
  <si>
    <t>PRICING</t>
  </si>
  <si>
    <t>column_name</t>
  </si>
  <si>
    <t>data_type</t>
  </si>
  <si>
    <t>is_nullable</t>
  </si>
  <si>
    <t>export_time</t>
  </si>
  <si>
    <t>TIMESTAMP</t>
  </si>
  <si>
    <t>YES</t>
  </si>
  <si>
    <t>pricing_as_of_time</t>
  </si>
  <si>
    <t>billing_account_id</t>
  </si>
  <si>
    <t>STRING</t>
  </si>
  <si>
    <t>business_entity_name</t>
  </si>
  <si>
    <t>service</t>
  </si>
  <si>
    <t>STRUCT&lt;id STRING, description STRING&gt;</t>
  </si>
  <si>
    <t>sku</t>
  </si>
  <si>
    <t>STRUCT&lt;id STRING, description STRING, destination_migration_mappings ARRAY&lt;STRING&gt;&gt;</t>
  </si>
  <si>
    <t>product_taxonomy</t>
  </si>
  <si>
    <t>ARRAY&lt;STRING&gt;</t>
  </si>
  <si>
    <t>NO</t>
  </si>
  <si>
    <t>geo_taxonomy</t>
  </si>
  <si>
    <t>STRUCT&lt;type STRING, regions ARRAY&lt;STRING&gt;&gt;</t>
  </si>
  <si>
    <t>pricing_unit</t>
  </si>
  <si>
    <t>pricing_unit_description</t>
  </si>
  <si>
    <t>account_currency_code</t>
  </si>
  <si>
    <t>currency_conversion_rate</t>
  </si>
  <si>
    <t>FLOAT64</t>
  </si>
  <si>
    <t>list_price</t>
  </si>
  <si>
    <t>STRUCT&lt;aggregation_info STRUCT&lt;aggregation_level STRING, aggregation_interval STRING&gt;, tiered_rates ARRAY&lt;STRUCT&lt;pricing_unit_quantity FLOAT64, start_usage_amount FLOAT64, usd_amount FLOAT64, account_currency_amount FLOAT64&gt;&gt;&gt;</t>
  </si>
  <si>
    <t>billing_account_price</t>
  </si>
  <si>
    <t>STRUCT&lt;price_info STRUCT&lt;price_reason STRING, discount_percent FLOAT64, discount_percent_fixed_date DATE, discount_migrated_from STRING&gt;, aggregation_info STRUCT&lt;aggregation_level STRING, aggregation_interval STRING&gt;, tiered_rates ARRAY&lt;STRUCT&lt;pricing_unit_quantity FLOAT64, start_usage_amount FLOAT64, usd_amount FLOAT64, account_currency_amount FLOAT64&gt;&gt;&gt;</t>
  </si>
  <si>
    <t>_PARTITIONTIME</t>
  </si>
  <si>
    <t>DETAILIED</t>
  </si>
  <si>
    <t>usage_start_time</t>
  </si>
  <si>
    <t>usage_end_time</t>
  </si>
  <si>
    <t>project</t>
  </si>
  <si>
    <t>STRUCT&lt;id STRING, number STRING, name STRING, labels ARRAY&lt;STRUCT&lt;key STRING, value STRING&gt;&gt;, ancestry_numbers STRING, ancestors ARRAY&lt;STRUCT&lt;resource_name STRING, display_name STRING&gt;&gt;&gt;</t>
  </si>
  <si>
    <t>labels</t>
  </si>
  <si>
    <t>ARRAY&lt;STRUCT&lt;key STRING, value STRING&gt;&gt;</t>
  </si>
  <si>
    <t>system_labels</t>
  </si>
  <si>
    <t>location</t>
  </si>
  <si>
    <t>STRUCT&lt;location STRING, country STRING, region STRING, zone STRING&gt;</t>
  </si>
  <si>
    <t>resource</t>
  </si>
  <si>
    <t>STRUCT&lt;name STRING, global_name STRING&gt;</t>
  </si>
  <si>
    <t>tags</t>
  </si>
  <si>
    <t>ARRAY&lt;STRUCT&lt;key STRING, value STRING, inherited BOOL, namespace STRING&gt;&gt;</t>
  </si>
  <si>
    <t>price</t>
  </si>
  <si>
    <t>STRUCT&lt;effective_price NUMERIC, tier_start_amount NUMERIC, unit STRING, pricing_unit_quantity NUMERIC&gt;</t>
  </si>
  <si>
    <t>subscription</t>
  </si>
  <si>
    <t>STRUCT&lt;instance_id STRING&gt;</t>
  </si>
  <si>
    <t>transaction_type</t>
  </si>
  <si>
    <t>seller_name</t>
  </si>
  <si>
    <t>cost</t>
  </si>
  <si>
    <t>currency</t>
  </si>
  <si>
    <t>usage</t>
  </si>
  <si>
    <t>STRUCT&lt;amount FLOAT64, unit STRING, amount_in_pricing_units FLOAT64, pricing_unit STRING&gt;</t>
  </si>
  <si>
    <t>credits</t>
  </si>
  <si>
    <t>ARRAY&lt;STRUCT&lt;name STRING, amount FLOAT64, full_name STRING, id STRING, type STRING&gt;&gt;</t>
  </si>
  <si>
    <t>invoice</t>
  </si>
  <si>
    <t>STRUCT&lt;month STRING&gt;</t>
  </si>
  <si>
    <t>cost_type</t>
  </si>
  <si>
    <t>adjustment_info</t>
  </si>
  <si>
    <t>STRUCT&lt;id STRING, description STRING, mode STRING, type STRING&gt;</t>
  </si>
  <si>
    <t>cost_at_list</t>
  </si>
  <si>
    <t>GCP PROJECTS\OBJECTS</t>
  </si>
  <si>
    <t>SELECT * FROM `gcp-dev-finops-mewest1-billing.gcp_dev_finops_europe_west4_billing4detailedusage.gcp_billing_export_resource_v1_0148C2_96F35C_CFC72F` WHERE TIMESTAMP_TRUNC(_PARTITIONTIME, DAY) = TIMESTAMP("2024-07-02") AND EXISTS ( SELECT 1 FROM UNNEST(project.ancestors) AS ancestor WHERE ancestor.display_name = 'backup-and-dr-cloud' )</t>
  </si>
  <si>
    <t>gcp-dev-finops-mewest1-billing.gcp_dev_finops_europe_west4_billing4test.2024-0702_backup-and-dr-cloud</t>
  </si>
  <si>
    <t>DECLARE target_date DATE DEFAULT DATE_SUB(CURRENT_DATE(), INTERVAL 1 DAY);
CREATE OR REPLACE TABLE `gcp-dev-finops-mewest1-billing.gcp_dev_finops_europe_west4_billing4test.null_labels_daily` AS
SELECT *
FROM `gcp-dev-finops-mewest1-billing.gcp_dev_finops_europe_west4_billing4detailedusage.gcp_billing_export_resource_v1_0148C2_96F35C_CFC72F`
WHERE TIMESTAMP_TRUNC(_PARTITIONTIME, DAY) = TIMESTAMP(DATE_SUB(CURRENT_DATE(), INTERVAL 1 DAY))
  AND EXISTS (
    SELECT 1
    FROM UNNEST(labels) AS label
    WHERE label.value IS NULL
  );</t>
  </si>
  <si>
    <t>gcp-dev-finops-mewest1-billing.gcp_dev_finops_europe_west4_billing4test.null_labels_daily</t>
  </si>
  <si>
    <t xml:space="preserve">gcloud scheduler jobs create pubsub update-table-job \
  --schedule="0 0 * * *" \
  --time-zone="YOUR_TIME_ZONE" \
  --topic=YOUR_TOPIC_NAME \
  --message-body="{}"
</t>
  </si>
  <si>
    <t>192.168.11.23</t>
  </si>
  <si>
    <t>IDCSQLGOANY01</t>
  </si>
  <si>
    <t>172.25.20.101</t>
  </si>
  <si>
    <t>IDCSQLELYOND01</t>
  </si>
  <si>
    <t>172.25.20.61</t>
  </si>
  <si>
    <t>ELYON</t>
  </si>
  <si>
    <t>GOANYWHERE</t>
  </si>
  <si>
    <t>MAIN INT NEW (july2024)</t>
  </si>
  <si>
    <t>EDCSTGSQLBAMA03</t>
  </si>
  <si>
    <t>SnSh_Timming</t>
  </si>
  <si>
    <t>dt_OrderGuardianAppointedType</t>
  </si>
  <si>
    <t>filter</t>
  </si>
  <si>
    <t>index</t>
  </si>
  <si>
    <t>(RTM-CU8) (KB4577194)</t>
  </si>
  <si>
    <t>10.51.11.15</t>
  </si>
  <si>
    <t>10.51.11.212</t>
  </si>
  <si>
    <t>K2BO</t>
  </si>
  <si>
    <t>10.51.11.141</t>
  </si>
  <si>
    <t>10.51.11.223</t>
  </si>
  <si>
    <t>ETL, SSIS</t>
  </si>
  <si>
    <t>10.51.11.45</t>
  </si>
  <si>
    <t>(SP2) (KB4052908)</t>
  </si>
  <si>
    <t>Boaz</t>
  </si>
  <si>
    <t>dt_CaseParty</t>
  </si>
  <si>
    <t>dt_LegalEntityName</t>
  </si>
  <si>
    <t>dt_LegalEntityRegisteredName</t>
  </si>
  <si>
    <t>Evgeny</t>
  </si>
  <si>
    <t>FROM_Pub</t>
  </si>
  <si>
    <t>172.25.20.17\IDCSQLBAMA2016</t>
  </si>
  <si>
    <t>(SP1-CU3) (KB4019916)</t>
  </si>
  <si>
    <t>ElyonDecisions</t>
  </si>
  <si>
    <t>constraints</t>
  </si>
  <si>
    <t>dt_WebSubmissionTaskData</t>
  </si>
  <si>
    <t>web s tasks</t>
  </si>
  <si>
    <t>Don't repl WebSubmissionTaskData column</t>
  </si>
  <si>
    <t>all_schema</t>
  </si>
  <si>
    <t>dt_RequestToBeExternalArbitrator</t>
  </si>
  <si>
    <t>VD</t>
  </si>
  <si>
    <t>Drop from replication VD, exists in 6.1</t>
  </si>
  <si>
    <t>10.51.37.40</t>
  </si>
  <si>
    <t xml:space="preserve"> CTLSQLSFB01</t>
  </si>
  <si>
    <t>CTLSQLSFB01</t>
  </si>
  <si>
    <t>DB identifier</t>
  </si>
  <si>
    <t>Engine version</t>
  </si>
  <si>
    <t>Maintenance</t>
  </si>
  <si>
    <t>Storage type</t>
  </si>
  <si>
    <t>Provisioned IOPS</t>
  </si>
  <si>
    <t>Storage throughput</t>
  </si>
  <si>
    <t>DB subnet group name</t>
  </si>
  <si>
    <t>Option group</t>
  </si>
  <si>
    <t>SQL_Latin1_General_CP1_CI_AS</t>
  </si>
  <si>
    <t>AWS</t>
  </si>
  <si>
    <t>S3</t>
  </si>
  <si>
    <t>arn:aws:s3:::aws-dev-privatedev-s3-ilcentral1-restorebucket/SQLBAK/mishpat_backup_2024_09_22.bak</t>
  </si>
  <si>
    <t>arn:aws:s3:::aws-dev-privatedev-s3-ilcentral1-restorebucket/bak/NGCS_EDC_backup_2024_06_29_163001_3491712.bak</t>
  </si>
  <si>
    <t>AWS PROJECTS\OBJECTS</t>
  </si>
  <si>
    <t>rds</t>
  </si>
  <si>
    <t>SBO backup of Mishpat</t>
  </si>
  <si>
    <t>NGCS_EDC  backup from PP</t>
  </si>
  <si>
    <t>ngcs-main-new.cbw8e0c2gqr2.il-central-1.rds.amazonaws.com</t>
  </si>
  <si>
    <t>MAIN</t>
  </si>
  <si>
    <t>sbo.cbw8e0c2gqr2.il-central-1.rds.amazonaws.com</t>
  </si>
  <si>
    <t>SBO</t>
  </si>
  <si>
    <t>AWSReservedSSO_MPS-CloudOps_da53b61e95f150d3/yaelme@court.gov.il</t>
  </si>
  <si>
    <t> netcourt-aws-private-dev@court.gov.il</t>
  </si>
  <si>
    <t>ID</t>
  </si>
  <si>
    <t>M-Court-NetCourtPrivate-Dev</t>
  </si>
  <si>
    <t>10.51.24.21</t>
  </si>
  <si>
    <t>CHAT?</t>
  </si>
  <si>
    <t>SQL_Latin1_General_CP1255_CS_AS</t>
  </si>
  <si>
    <t>NGCS-EDC</t>
  </si>
  <si>
    <t>default RDS</t>
  </si>
  <si>
    <t>Mishpat</t>
  </si>
  <si>
    <t>SQL_Latin1_General_CP850_CI_AS</t>
  </si>
  <si>
    <t>921 GB</t>
  </si>
  <si>
    <t>5950 GB</t>
  </si>
  <si>
    <t>Edition</t>
  </si>
  <si>
    <t>SQL Server Enterprise Edition</t>
  </si>
  <si>
    <t>RDS SETTINGS</t>
  </si>
  <si>
    <t>Templates</t>
  </si>
  <si>
    <t>Dev\Test</t>
  </si>
  <si>
    <t>ngcs-main</t>
  </si>
  <si>
    <t>Master user name</t>
  </si>
  <si>
    <t>admin</t>
  </si>
  <si>
    <t>Credentuials management</t>
  </si>
  <si>
    <t>Self managed</t>
  </si>
  <si>
    <t>Master password</t>
  </si>
  <si>
    <t>***dba will tell you***</t>
  </si>
  <si>
    <t>DB instance class</t>
  </si>
  <si>
    <t>8vCPUs / 32 GiB /  Net 4750 Mbps</t>
  </si>
  <si>
    <t>Size DB</t>
  </si>
  <si>
    <t>Collation</t>
  </si>
  <si>
    <t>Restore Time</t>
  </si>
  <si>
    <t>5.5 hours</t>
  </si>
  <si>
    <t>2.5 hours</t>
  </si>
  <si>
    <t>Allocated storage</t>
  </si>
  <si>
    <t>999 Gib</t>
  </si>
  <si>
    <t>for gp3, gp 2 only</t>
  </si>
  <si>
    <t>******</t>
  </si>
  <si>
    <t>Storage autoscaling</t>
  </si>
  <si>
    <t>Enable storage autoscaling</t>
  </si>
  <si>
    <t>Maximum storage threshold</t>
  </si>
  <si>
    <t>Availability &amp; durability</t>
  </si>
  <si>
    <t>Multi-AZ deployment</t>
  </si>
  <si>
    <t>Connectivity</t>
  </si>
  <si>
    <t>Connect to an EC2 compute resource</t>
  </si>
  <si>
    <t>EC2 instance</t>
  </si>
  <si>
    <t>aws-dev-privatdev-ec2-ilcentral1-rdsmgmt</t>
  </si>
  <si>
    <t>Virtual private cloud (VPC)</t>
  </si>
  <si>
    <t>aws-dev-privatdev-vpc-ilcentral1-netcourt</t>
  </si>
  <si>
    <t>default with EC2</t>
  </si>
  <si>
    <t>default-vpc-062d4e69bb154674e</t>
  </si>
  <si>
    <t>Public access</t>
  </si>
  <si>
    <t>VPC security group (firewall)</t>
  </si>
  <si>
    <t>rds-ec2-4 (sg-04a9e0311a35295fc)</t>
  </si>
  <si>
    <t>ec2-rds-4</t>
  </si>
  <si>
    <t>Availability Zone</t>
  </si>
  <si>
    <t>il-central-1b</t>
  </si>
  <si>
    <t>Database port</t>
  </si>
  <si>
    <t>Microsoft SQL Server Windows Authentication</t>
  </si>
  <si>
    <t>Enable Microsoft SQL Server Windows authentication</t>
  </si>
  <si>
    <t>Tags - optional</t>
  </si>
  <si>
    <t>ADD TAGS</t>
  </si>
  <si>
    <t>Monitoring</t>
  </si>
  <si>
    <t>Instance configuration</t>
  </si>
  <si>
    <t>Settings</t>
  </si>
  <si>
    <t>Turn on Performance Insights</t>
  </si>
  <si>
    <t>Performance Insights</t>
  </si>
  <si>
    <t>Retention period</t>
  </si>
  <si>
    <t>7 days (free)</t>
  </si>
  <si>
    <t>AWS KMS key</t>
  </si>
  <si>
    <t xml:space="preserve">default </t>
  </si>
  <si>
    <t>Enhanced Monitoring</t>
  </si>
  <si>
    <t>Enable Enhanced Monitoring</t>
  </si>
  <si>
    <t>Granularity</t>
  </si>
  <si>
    <t>60c</t>
  </si>
  <si>
    <t>Monitoring Role</t>
  </si>
  <si>
    <t>default</t>
  </si>
  <si>
    <t>Additional configuration</t>
  </si>
  <si>
    <t>Time zone</t>
  </si>
  <si>
    <t>DB parameter group</t>
  </si>
  <si>
    <t>allowbackupandrestore</t>
  </si>
  <si>
    <t>Israel Standart Time</t>
  </si>
  <si>
    <t>Backup</t>
  </si>
  <si>
    <t>Enable automated backups</t>
  </si>
  <si>
    <t>Backup window</t>
  </si>
  <si>
    <t>CHOOSE 21:35UTC 4hours</t>
  </si>
  <si>
    <t>Backup replication</t>
  </si>
  <si>
    <t xml:space="preserve">21:35UTC </t>
  </si>
  <si>
    <t>4hours</t>
  </si>
  <si>
    <t>Duration</t>
  </si>
  <si>
    <t>Start time</t>
  </si>
  <si>
    <t>Encryption</t>
  </si>
  <si>
    <t>Log exports</t>
  </si>
  <si>
    <t>Agent log</t>
  </si>
  <si>
    <t>Error log</t>
  </si>
  <si>
    <t>Enable auto minor version upgrade</t>
  </si>
  <si>
    <t>Maintenance window</t>
  </si>
  <si>
    <t>CHOOSE a window - TRUE</t>
  </si>
  <si>
    <t xml:space="preserve">Start day </t>
  </si>
  <si>
    <t>Thursday</t>
  </si>
  <si>
    <t xml:space="preserve">19:45UTC </t>
  </si>
  <si>
    <t>1hours</t>
  </si>
  <si>
    <t>Deletion protection</t>
  </si>
  <si>
    <t>No - TRUE</t>
  </si>
  <si>
    <t>Choose Existing - True</t>
  </si>
  <si>
    <t>Windows authentication type</t>
  </si>
  <si>
    <t>AWS Managed Microsoft Active Directory</t>
  </si>
  <si>
    <t>NO - TRUE</t>
  </si>
  <si>
    <t>Choose existing - TRUE</t>
  </si>
  <si>
    <t>Existing DB subnet group name</t>
  </si>
  <si>
    <t>Standard classes (includes m classes) - TRUE</t>
  </si>
  <si>
    <t>ngcs-main.clgwaoeiqe0b.il-central-1.rds.amazonaws.com</t>
  </si>
  <si>
    <t>PP</t>
  </si>
  <si>
    <t xml:space="preserve">905418287126 </t>
  </si>
  <si>
    <t>M-Court-NetCourtPrivate-PreProd</t>
  </si>
  <si>
    <t>netcourt-aws-private@court.gov.il</t>
  </si>
  <si>
    <t>EC2</t>
  </si>
  <si>
    <t>Check aviliability</t>
  </si>
  <si>
    <r>
      <rPr>
        <b/>
        <sz val="11"/>
        <color indexed="10"/>
        <rFont val="Calibri"/>
        <family val="2"/>
      </rPr>
      <t>aws s3 ls</t>
    </r>
    <r>
      <rPr>
        <sz val="11"/>
        <color theme="1"/>
        <rFont val="Calibri"/>
        <family val="2"/>
        <scheme val="minor"/>
      </rPr>
      <t xml:space="preserve"> s3://aws-dev-privatedev-s3-ilcentral1-restorebucket   </t>
    </r>
  </si>
  <si>
    <t>aws s3 (service) ls (list) + URL</t>
  </si>
  <si>
    <t>Description</t>
  </si>
  <si>
    <t>Region</t>
  </si>
  <si>
    <t>Israel</t>
  </si>
  <si>
    <t>dt_ExpertCommitteeMember</t>
  </si>
  <si>
    <t>sbo</t>
  </si>
  <si>
    <t>CHOOSE 21:35UTC 2hours</t>
  </si>
  <si>
    <t>2hours</t>
  </si>
  <si>
    <t>General Purpose SSD gp3</t>
  </si>
  <si>
    <t>DB</t>
  </si>
  <si>
    <t>T.backup</t>
  </si>
  <si>
    <t>T.Restore (S3)</t>
  </si>
  <si>
    <t>NGSC_EDC</t>
  </si>
  <si>
    <t>NGCS_INFRASTRUCTURE_PRE</t>
  </si>
  <si>
    <t>NGCS_DCTM</t>
  </si>
  <si>
    <t>Elyon_Tables</t>
  </si>
  <si>
    <t>sbonew</t>
  </si>
  <si>
    <t>SIZE full,Gib</t>
  </si>
  <si>
    <t>SIZE bak,Gib</t>
  </si>
  <si>
    <t>mishpat</t>
  </si>
  <si>
    <t>SBO-COMMON</t>
  </si>
  <si>
    <t>SLDModel.SLDData</t>
  </si>
  <si>
    <t>T.copy to folder</t>
  </si>
  <si>
    <t>1,5</t>
  </si>
  <si>
    <t>Instance RDS</t>
  </si>
  <si>
    <t>T.upload to S3</t>
  </si>
  <si>
    <t>TOTAL 2 RDS</t>
  </si>
  <si>
    <t>5.6 - 5.9 Mb\s</t>
  </si>
  <si>
    <t>arn:aws:s3:::aws-dev-privatedev-s3-ilcentral1-restorebucket/SQLBAK/SLDModel.SLDData_backup_2024_09_22_113557_3646341.bak</t>
  </si>
  <si>
    <t>arn:aws:s3:::aws-dev-privatedev-s3-ilcentral1-restorebucket/SQLBAK/SBO-COMMON_backup_2024_09_22_113557_3021365.bak</t>
  </si>
  <si>
    <t>arn:aws:s3:::aws-dev-privatedev-s3-ilcentral1-restorebucket/SQLBAK/NGCS_INFRASTRUCTURE_PRE_30102024.bak</t>
  </si>
  <si>
    <t>RDS</t>
  </si>
  <si>
    <t>SBO-COMMON from PRE</t>
  </si>
  <si>
    <t>SLDModel.SLDData from PRE</t>
  </si>
  <si>
    <t>SBO-new</t>
  </si>
  <si>
    <t>100.83.1.21</t>
  </si>
  <si>
    <t>sbonew.clgwaoeiqe0b.il-central-1.rds.amazonaws.com</t>
  </si>
  <si>
    <t>chkdsk /f /r</t>
  </si>
  <si>
    <t>Check Disks Health</t>
  </si>
  <si>
    <t>to check for and repair bad sectors and other issues</t>
  </si>
  <si>
    <t>100.83.2.207</t>
  </si>
  <si>
    <t>100.83.2.36</t>
  </si>
  <si>
    <t>10.55.11.28</t>
  </si>
  <si>
    <t>BAMATFSDEPLOY01</t>
  </si>
  <si>
    <t>NON SQL</t>
  </si>
  <si>
    <t>arn:aws:s3:::aws-shr-xpolog-s3-ilcnentral1-xpolog/XPLGREP/onprem_to_aws/NGCS_DCTM/dir1/NGCS_DCTM_30102024.bak</t>
  </si>
  <si>
    <t>Total</t>
  </si>
  <si>
    <t>arn:aws:s3:::aws-shr-xpolog-s3-ilcnentral1-xpolog/XPLGREP/onprem_to_aws/NGCS_DCTM/dir1/Elyon_Tables_30102024.bak</t>
  </si>
  <si>
    <t xml:space="preserve"> PRE PROD</t>
  </si>
  <si>
    <t>\\10.51.10.185\synctoaws</t>
  </si>
  <si>
    <t>10.51.11.65</t>
  </si>
  <si>
    <t>CTLPRDWH01</t>
  </si>
  <si>
    <t>rds.sqlserver_msdtc</t>
  </si>
  <si>
    <t>NGCS_ML</t>
  </si>
  <si>
    <t>MFREPORT</t>
  </si>
  <si>
    <t>NGCS_INFRASTRUCTURE_PREIDC</t>
  </si>
  <si>
    <t>ACTUAL</t>
  </si>
  <si>
    <t xml:space="preserve"> add res EDC 03:00</t>
  </si>
  <si>
    <t>EC2AMAZ-1CLDICV</t>
  </si>
  <si>
    <t>EC2AMAZ-2P0PN5H</t>
  </si>
  <si>
    <t>500 Gib</t>
  </si>
  <si>
    <t>125 (default)</t>
  </si>
  <si>
    <t>db.m5.2xlarge  (8v/32G N4750)</t>
  </si>
  <si>
    <t>v</t>
  </si>
  <si>
    <t>db.m5.xlarge     (4v/16G)</t>
  </si>
  <si>
    <t>General Purpose SSD (gp3)</t>
  </si>
  <si>
    <t>9000 Gib</t>
  </si>
  <si>
    <t>mumhim.czwk86ayovrm.il-central-1.rds.amazonaws.com</t>
  </si>
  <si>
    <t>PUB</t>
  </si>
  <si>
    <t>PRIV</t>
  </si>
  <si>
    <t>mumhim</t>
  </si>
  <si>
    <t>100.115.1.240</t>
  </si>
  <si>
    <t>SHARED SERVICES</t>
  </si>
  <si>
    <t>****</t>
  </si>
  <si>
    <t>Short name</t>
  </si>
  <si>
    <t>SERVICE</t>
  </si>
  <si>
    <t>NetBiosName</t>
  </si>
  <si>
    <t>100.81.3.8</t>
  </si>
  <si>
    <t>Sandbox</t>
  </si>
  <si>
    <t>\\10.55.11.28\MainRoot\7.75\114.10646\202411061243_prod-247</t>
  </si>
  <si>
    <t>51.84.12.130</t>
  </si>
  <si>
    <t>https://536697260391.signin.aws.amazon.com/console</t>
  </si>
  <si>
    <t>SANDBOX</t>
  </si>
  <si>
    <t>536697260391</t>
  </si>
  <si>
    <t>172.25.20.15\IDCSQLBAMA2019</t>
  </si>
  <si>
    <t>dt_DocumentTag</t>
  </si>
  <si>
    <t>dt_DocumentEntityTag</t>
  </si>
  <si>
    <t>NGCS_EDC_One_More</t>
  </si>
  <si>
    <t>0x0000C04008035EDF</t>
  </si>
  <si>
    <r>
      <t>Создание таблицы на подписчике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0x01</t>
    </r>
    <r>
      <rPr>
        <sz val="11"/>
        <color theme="1"/>
        <rFont val="Calibri"/>
        <family val="2"/>
        <scheme val="minor"/>
      </rPr>
      <t>).</t>
    </r>
  </si>
  <si>
    <r>
      <t>Перенос ограничений PRIMARY KEY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0x02</t>
    </r>
    <r>
      <rPr>
        <sz val="11"/>
        <color theme="1"/>
        <rFont val="Calibri"/>
        <family val="2"/>
        <scheme val="minor"/>
      </rPr>
      <t>).</t>
    </r>
  </si>
  <si>
    <r>
      <t>Перенос индексов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0x08</t>
    </r>
    <r>
      <rPr>
        <sz val="11"/>
        <color theme="1"/>
        <rFont val="Calibri"/>
        <family val="2"/>
        <scheme val="minor"/>
      </rPr>
      <t>).</t>
    </r>
  </si>
  <si>
    <r>
      <t xml:space="preserve">Добавление </t>
    </r>
    <r>
      <rPr>
        <b/>
        <sz val="10"/>
        <color indexed="8"/>
        <rFont val="Arial Unicode MS"/>
      </rPr>
      <t>NOT FOR REPLICATION</t>
    </r>
    <r>
      <rPr>
        <b/>
        <sz val="11"/>
        <color indexed="8"/>
        <rFont val="Calibri"/>
        <family val="2"/>
      </rPr>
      <t xml:space="preserve"> для ограничений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0x80</t>
    </r>
    <r>
      <rPr>
        <sz val="11"/>
        <color theme="1"/>
        <rFont val="Calibri"/>
        <family val="2"/>
        <scheme val="minor"/>
      </rPr>
      <t>).</t>
    </r>
  </si>
  <si>
    <r>
      <t>Копирование хранимых процедур и функций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0x10000</t>
    </r>
    <r>
      <rPr>
        <sz val="11"/>
        <color theme="1"/>
        <rFont val="Calibri"/>
        <family val="2"/>
        <scheme val="minor"/>
      </rPr>
      <t>).</t>
    </r>
  </si>
  <si>
    <r>
      <t>Копирование представлений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0x20000</t>
    </r>
    <r>
      <rPr>
        <sz val="11"/>
        <color theme="1"/>
        <rFont val="Calibri"/>
        <family val="2"/>
        <scheme val="minor"/>
      </rPr>
      <t>).</t>
    </r>
  </si>
  <si>
    <r>
      <t>Копирование схем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0x40000000</t>
    </r>
    <r>
      <rPr>
        <sz val="11"/>
        <color theme="1"/>
        <rFont val="Calibri"/>
        <family val="2"/>
        <scheme val="minor"/>
      </rPr>
      <t>).</t>
    </r>
  </si>
  <si>
    <r>
      <t>Копирование статистики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0x800000000000</t>
    </r>
    <r>
      <rPr>
        <sz val="11"/>
        <color theme="1"/>
        <rFont val="Calibri"/>
        <family val="2"/>
        <scheme val="minor"/>
      </rPr>
      <t>).</t>
    </r>
  </si>
  <si>
    <t>0x00000000080358DF</t>
  </si>
  <si>
    <r>
      <t>Копирование индексов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0x08</t>
    </r>
    <r>
      <rPr>
        <sz val="11"/>
        <color theme="1"/>
        <rFont val="Calibri"/>
        <family val="2"/>
        <scheme val="minor"/>
      </rPr>
      <t>).</t>
    </r>
  </si>
  <si>
    <r>
      <t>Копирование представлений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0x10000</t>
    </r>
    <r>
      <rPr>
        <sz val="11"/>
        <color theme="1"/>
        <rFont val="Calibri"/>
        <family val="2"/>
        <scheme val="minor"/>
      </rPr>
      <t>).</t>
    </r>
  </si>
  <si>
    <r>
      <t>Копирование схем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0x80000000</t>
    </r>
    <r>
      <rPr>
        <sz val="11"/>
        <color theme="1"/>
        <rFont val="Calibri"/>
        <family val="2"/>
        <scheme val="minor"/>
      </rPr>
      <t>).</t>
    </r>
  </si>
  <si>
    <r>
      <t>Копирование статистики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indexed="8"/>
        <rFont val="Arial Unicode MS"/>
      </rPr>
      <t>0x080000000000</t>
    </r>
    <r>
      <rPr>
        <sz val="11"/>
        <color theme="1"/>
        <rFont val="Calibri"/>
        <family val="2"/>
        <scheme val="minor"/>
      </rPr>
      <t>).</t>
    </r>
  </si>
  <si>
    <t>rt_SittingCaseActionType</t>
  </si>
  <si>
    <t>dt_SittingCaseSupremeCourtHistory</t>
  </si>
  <si>
    <t>dt_OrderMessageToGuardian</t>
  </si>
  <si>
    <t>10.51.99.3</t>
  </si>
  <si>
    <t xml:space="preserve">CTLTS31 </t>
  </si>
  <si>
    <t xml:space="preserve">Airwatch, Sharepoint  - גישה וניהול שירותים שנמצאים בסביבת IDC </t>
  </si>
  <si>
    <t>io1</t>
  </si>
  <si>
    <t>Enabled?</t>
  </si>
  <si>
    <t>Storage Type</t>
  </si>
  <si>
    <t>gp3</t>
  </si>
  <si>
    <t>arn:aws:s3:::aws-shr-xpolog-s3-ilcnentral1-xpolog/XPLGREP/onprem_to_aws/NGCS_DCTM/</t>
  </si>
  <si>
    <t>DATE</t>
  </si>
  <si>
    <t>ngcs-main-new</t>
  </si>
  <si>
    <t>DBA</t>
  </si>
  <si>
    <t>TIMING ON PREM</t>
  </si>
  <si>
    <t>TIMMING CLOUD</t>
  </si>
  <si>
    <t>T.backup on RDS</t>
  </si>
  <si>
    <t>ngcs-main-new.clgwaoeiqe0b.il-central-1.rds.amazonaws.com</t>
  </si>
  <si>
    <t>EC2AMAZ-FO22IOI</t>
  </si>
  <si>
    <t>100.83.2.228</t>
  </si>
  <si>
    <t>gp3 to io1 = 5hours</t>
  </si>
  <si>
    <t>main-new</t>
  </si>
  <si>
    <t>10.51.21.73</t>
  </si>
  <si>
    <t>BIZTALK</t>
  </si>
  <si>
    <t>CTLPRBIZT01</t>
  </si>
  <si>
    <t>EDCSTGBIZ01</t>
  </si>
  <si>
    <t>(SP1-CU1) (KB3208177)</t>
  </si>
  <si>
    <t>192.168.11.91</t>
  </si>
  <si>
    <t>dt_OrderGuardianAppointed</t>
  </si>
  <si>
    <t>from June 2024</t>
  </si>
  <si>
    <t>dt_ConditionalGuarantee</t>
  </si>
  <si>
    <t>192.168.17.11</t>
  </si>
  <si>
    <t>EDCSTGAPPL01</t>
  </si>
  <si>
    <t>APP</t>
  </si>
  <si>
    <t>EDCSTGAPPL02</t>
  </si>
  <si>
    <t>192.168.17.12</t>
  </si>
  <si>
    <t>dt_QueueCall</t>
  </si>
  <si>
    <t>Month</t>
  </si>
  <si>
    <t>runtime</t>
  </si>
  <si>
    <t>data, gb</t>
  </si>
  <si>
    <t>log, gb</t>
  </si>
  <si>
    <t>JOB</t>
  </si>
  <si>
    <t>Request</t>
  </si>
  <si>
    <t>leave data of last year only</t>
  </si>
  <si>
    <t>DataSize, Gb</t>
  </si>
  <si>
    <t>IndexSize,Gb</t>
  </si>
  <si>
    <t>Schedule/runtime</t>
  </si>
  <si>
    <t>TableInfo (Prod - 20/01/2025)</t>
  </si>
  <si>
    <t>909 519 405</t>
  </si>
  <si>
    <t>dt_InterfaceOutQueue</t>
  </si>
  <si>
    <t>leave data of last 6 month only</t>
  </si>
  <si>
    <t>194 984 204</t>
  </si>
  <si>
    <t>18 506 751</t>
  </si>
  <si>
    <t>Procedure (DB Archive_EDC)</t>
  </si>
  <si>
    <t>DB Archive_EDC</t>
  </si>
  <si>
    <t>monthly  / 5 min</t>
  </si>
  <si>
    <t>до 2018 - ID 111 585 739, rows - 1 011 984, 00:12:26</t>
  </si>
  <si>
    <t>AVG Year</t>
  </si>
  <si>
    <t>Archive_dt_QueueCall</t>
  </si>
  <si>
    <t>Archive_dt_InterfaceOutQueue</t>
  </si>
  <si>
    <t>5069467.06 MB</t>
  </si>
  <si>
    <t>stg EDC before</t>
  </si>
  <si>
    <t>stg EDC after</t>
  </si>
  <si>
    <t>Archive_dt_WebSubmissionTaskData</t>
  </si>
  <si>
    <t>main for SBO (PRE PROD-Private)</t>
  </si>
  <si>
    <t>rt_JusticeVCRegisteredEmail</t>
  </si>
  <si>
    <t>N'D:\rdsdbdata\DATA\</t>
  </si>
  <si>
    <t>EC2AMAZ-RJB7SRC</t>
  </si>
  <si>
    <t xml:space="preserve">   SET @Command = 
        'powershell.exe -Command "&amp; { Get-ChildItem ''' + @FolderPath + ''' -Filter *.trc | Where-Object { $_.LastWriteTime -lt (Get-Date).AddDays(-' 
        + CAST(@DaysOld AS NVARCHAR(10)) + ') } | Remove-Item -Force }"';</t>
  </si>
  <si>
    <t>DELETE FILES BY DATE</t>
  </si>
  <si>
    <t>Project</t>
  </si>
  <si>
    <t>Objects</t>
  </si>
  <si>
    <t>PRE</t>
  </si>
  <si>
    <t>Type</t>
  </si>
  <si>
    <t>Release (Date)</t>
  </si>
  <si>
    <t>Remarks</t>
  </si>
  <si>
    <t>Schedule (Job)</t>
  </si>
  <si>
    <t>Job name</t>
  </si>
  <si>
    <t>usp_Collect_Metrics_Last_Hour</t>
  </si>
  <si>
    <t>PROC</t>
  </si>
  <si>
    <t>Monitor RDS</t>
  </si>
  <si>
    <t>Connections per DB, activity, TO more then 1 min</t>
  </si>
  <si>
    <t>Shows general activity metrics for last hour-RDS</t>
  </si>
  <si>
    <t>usp_DeploymentStatusCheck</t>
  </si>
  <si>
    <t>After Manual DB Deployment</t>
  </si>
  <si>
    <t>Check DB deployment (total files+detalied info for each DBs)</t>
  </si>
  <si>
    <t>Total summury info for last Hour, detalied for current day</t>
  </si>
  <si>
    <t>usp_SetCmdshell</t>
  </si>
  <si>
    <t>Call Cmdshell</t>
  </si>
  <si>
    <t>Open/close Cmdshell by request</t>
  </si>
  <si>
    <t>parameter @enebled bit 0/1</t>
  </si>
  <si>
    <t>Delete Old Traces Files from Disk</t>
  </si>
  <si>
    <t>usp_DeleteOldTraceFiles</t>
  </si>
  <si>
    <t>Delete Old Trace Files</t>
  </si>
  <si>
    <t>Occurs every day at 03:00:00</t>
  </si>
  <si>
    <t>leave one month only (clean every night)</t>
  </si>
  <si>
    <t>parameters: @FolderPath NVARCHAR(255), @DaysOld INT 
Example: EXEC dbo.DeleteOldTraceFiles 
                 @FolderPath = 'N:\traces\', --Path with  \
                 @DaysOld = 31; --period in days for saving</t>
  </si>
  <si>
    <t>Table Space Usage</t>
  </si>
  <si>
    <t>SpaceusedByTables</t>
  </si>
  <si>
    <t>Tab</t>
  </si>
  <si>
    <t>usp_CollectTableSpaceUsage</t>
  </si>
  <si>
    <t>vw_SpaceusedByTables_Delta</t>
  </si>
  <si>
    <t>View</t>
  </si>
  <si>
    <t>_ADMIN_::CollectTableSpaceUsage</t>
  </si>
  <si>
    <t>Occurs every day at 03:30:00</t>
  </si>
  <si>
    <t>Control Indentity</t>
  </si>
  <si>
    <t>Instances PROD</t>
  </si>
  <si>
    <t>Collect data of Table space usage daily for all uDBs. 
(not exist bigint? Have to check). vw_SpaceusedByTables_Delta  - shows growing</t>
  </si>
  <si>
    <t>TempDB Space Utilization Check</t>
  </si>
  <si>
    <t>usp_TempDBSpaceUtilization</t>
  </si>
  <si>
    <t>usp_ControlIdentityOnTable</t>
  </si>
  <si>
    <t>for Report - working on it</t>
  </si>
  <si>
    <t>16/02/202425/02/2025</t>
  </si>
  <si>
    <r>
      <t xml:space="preserve">Shows The Current Identity On Tables and 
</t>
    </r>
    <r>
      <rPr>
        <sz val="11"/>
        <color rgb="FFFF0000"/>
        <rFont val="Calibri"/>
        <family val="2"/>
        <scheme val="minor"/>
      </rPr>
      <t>Estimate End Date</t>
    </r>
    <r>
      <rPr>
        <sz val="11"/>
        <color theme="1"/>
        <rFont val="Calibri"/>
        <family val="2"/>
        <scheme val="minor"/>
      </rPr>
      <t xml:space="preserve"> for the identity</t>
    </r>
  </si>
  <si>
    <t>RP_CS_AllocationAndInventory_FT</t>
  </si>
  <si>
    <t>REPORT</t>
  </si>
  <si>
    <t>JOB_RP_CS_AllocationAndInventory_FT</t>
  </si>
  <si>
    <t xml:space="preserve">Occurs every week on Monday, Tuesday, 
Wednesday, Thursday, Friday, Sunday at 02:00:00. </t>
  </si>
  <si>
    <t>AllocationAndInventory_FT</t>
  </si>
  <si>
    <t>dt_OrganizationUnit</t>
  </si>
  <si>
    <t>dt_RP_CS_AllocationAndInventory_AllocatedBetweenForWeb</t>
  </si>
  <si>
    <t>dt_RP_CS_AllocationAndInventory_ClosedBetween</t>
  </si>
  <si>
    <t>dt_RP_CS_AllocationAndInventory_InventoryForDate</t>
  </si>
  <si>
    <t>dt_RP_CS_AllocationAndInventory_OpenedBetween</t>
  </si>
  <si>
    <t>FN_RP_ClosedBetweenWithProofSittingYN</t>
  </si>
  <si>
    <t>FN_RP_ClosedBetweenWithSittingsYN</t>
  </si>
  <si>
    <t>rt_CaseInterest</t>
  </si>
  <si>
    <t>rt_CaseType</t>
  </si>
  <si>
    <t>rt_Proceeding</t>
  </si>
  <si>
    <t>VW_CS_CaseHistory_DeleteStatus_F</t>
  </si>
  <si>
    <t>VW_CS_CaseHistory_F</t>
  </si>
  <si>
    <t>VW_CS_CaseHistory_WithCurrentCaseType</t>
  </si>
  <si>
    <t>VW_CS_CaseHistoryWithStatus_F</t>
  </si>
  <si>
    <t>VW_CS_RP_JudicialHistoryWithoutName</t>
  </si>
  <si>
    <t>VW_RP_ClaimAmountByCaseID</t>
  </si>
  <si>
    <t>Func</t>
  </si>
  <si>
    <t>RP_DelaysAndOldCases</t>
  </si>
  <si>
    <t>job_DelaysAndOldCases</t>
  </si>
  <si>
    <t xml:space="preserve">Occurs every week on Monday, Tuesday, Wednesday, Thursday, Friday, Sunday at 01:40:00. </t>
  </si>
  <si>
    <t>DelaysAndOldCases</t>
  </si>
  <si>
    <t>dt_ActiveDirectoryUser</t>
  </si>
  <si>
    <t>dt_Case</t>
  </si>
  <si>
    <t>dt_DelaysAndOldCases</t>
  </si>
  <si>
    <t>dt_Document</t>
  </si>
  <si>
    <t>dt_DocumentCase</t>
  </si>
  <si>
    <t>dt_Meeting</t>
  </si>
  <si>
    <t>dt_ReplicationTask</t>
  </si>
  <si>
    <t>dt_Sitting</t>
  </si>
  <si>
    <t>dt_SittingCase</t>
  </si>
  <si>
    <t>FN_CS_CaseDisplayIdentifierByCaseID</t>
  </si>
  <si>
    <t>VW_CR_IsProtocolExistsForSitting_Get</t>
  </si>
  <si>
    <t>VW_CS_CaseJudicalPersonActive_Get</t>
  </si>
  <si>
    <t>VW_dt_Court</t>
  </si>
  <si>
    <t>CasesAndJudges_Flat_Night_Scripts</t>
  </si>
  <si>
    <t>JOB_CasesAndJudges_Flat_Night_Scripts</t>
  </si>
  <si>
    <t xml:space="preserve">Occurs every week on Monday, Tuesday, Wednesday, Thursday, Friday, Sunday at 00:01:00. </t>
  </si>
  <si>
    <t>CasesAndJudges_Flat_Night_Scripts_AllocatedBetween_AllocatedToJudge</t>
  </si>
  <si>
    <t>CasesAndJudges_Flat_Night_Scripts_AllocatedBetween_ChangeCourt</t>
  </si>
  <si>
    <t>CasesAndJudges_Flat_Night_Scripts_Closed</t>
  </si>
  <si>
    <t>CasesAndJudges_Flat_Night_Scripts_Inventory_ForDate_ForStartDate</t>
  </si>
  <si>
    <t>CasesAndJudges_Flat_Night_Scripts_MovedBetween_ChangeCourt</t>
  </si>
  <si>
    <t>CasesAndJudges_Flat_Night_Scripts_MovedBetween_MovedToAnotherJudge</t>
  </si>
  <si>
    <t>RP_ReportNotifications_Update</t>
  </si>
  <si>
    <t xml:space="preserve">Occurs every week on Monday, Tuesday, Wednesday, Thursday, Friday, Sunday at 00:30:00. </t>
  </si>
  <si>
    <t>dt_DeliveryState</t>
  </si>
  <si>
    <t>dt_ReportNotifications</t>
  </si>
  <si>
    <t>dt_ReportNotificationsUpdateDate</t>
  </si>
  <si>
    <t>FN_GetRowForReportNotifications</t>
  </si>
  <si>
    <t>rt_DeliveryStatus</t>
  </si>
  <si>
    <t>rt_DeliveryType</t>
  </si>
  <si>
    <t>TAb</t>
  </si>
  <si>
    <t>10.51.99.14</t>
  </si>
  <si>
    <t>TERMINAL for DEV</t>
  </si>
  <si>
    <t>Disabled</t>
  </si>
  <si>
    <t>21:45 UTC</t>
  </si>
  <si>
    <r>
      <rPr>
        <b/>
        <sz val="11"/>
        <color theme="9" tint="-0.249977111117893"/>
        <rFont val="Arial"/>
        <family val="2"/>
      </rPr>
      <t>SQL Server 2022</t>
    </r>
    <r>
      <rPr>
        <sz val="11"/>
        <color rgb="FF16191F"/>
        <rFont val="Arial"/>
        <family val="2"/>
      </rPr>
      <t xml:space="preserve"> 16.00.4085.2.v1</t>
    </r>
  </si>
  <si>
    <r>
      <rPr>
        <b/>
        <sz val="11"/>
        <color theme="9" tint="-0.249977111117893"/>
        <rFont val="Arial"/>
        <family val="2"/>
      </rPr>
      <t>SQL Server 2016</t>
    </r>
    <r>
      <rPr>
        <sz val="11"/>
        <color rgb="FF16191F"/>
        <rFont val="Arial"/>
        <family val="2"/>
      </rPr>
      <t xml:space="preserve"> 13.00.6445.1.v1</t>
    </r>
  </si>
  <si>
    <r>
      <t>db.m5.xlarge (4 vCPU, 16GB RAM)</t>
    </r>
    <r>
      <rPr>
        <sz val="11"/>
        <color theme="0" tint="-0.249977111117893"/>
        <rFont val="Arial"/>
        <family val="2"/>
      </rPr>
      <t>(8v/32G N4750)?</t>
    </r>
  </si>
  <si>
    <t>N'D:\rdsdbdata\S3\</t>
  </si>
  <si>
    <t>s3://aws-pprd-private-s3-ilcentral1-dba/Backup_SQL/</t>
  </si>
  <si>
    <t>Backups for DBs</t>
  </si>
  <si>
    <t>Snnipets DBA</t>
  </si>
  <si>
    <t>pprd-mumhim</t>
  </si>
  <si>
    <t>First run</t>
  </si>
  <si>
    <t>_Maintenance_ :: Archive_dt_InterfaceOutQueue</t>
  </si>
  <si>
    <t>monthly  / 4.5 min</t>
  </si>
  <si>
    <t>_Maintenance_ :: Archive_dt_QueueCall</t>
  </si>
  <si>
    <t>_Maintenance_ :: Archive_dt_WebSubmissionTaskData</t>
  </si>
  <si>
    <t>Archive FULL DATA of records older  2 year (at Least) from dt_WebSubmissionTaskData to Archive table in DB Archive_EDC and clean [WebSubmissionData] field in original tab</t>
  </si>
  <si>
    <t>Ones in Year  /1.5 hh - WEEKEND</t>
  </si>
  <si>
    <t>84.110.173.41</t>
  </si>
  <si>
    <t>84.110.173.42</t>
  </si>
  <si>
    <t>84.110.173.43</t>
  </si>
  <si>
    <t>84.110.173.44</t>
  </si>
  <si>
    <t>84.110.173.45</t>
  </si>
  <si>
    <t>84.110.173.46</t>
  </si>
  <si>
    <t>84.110.173.47</t>
  </si>
  <si>
    <t>84.110.173.48</t>
  </si>
  <si>
    <t>84.110.173.49</t>
  </si>
  <si>
    <t>84.110.173.50</t>
  </si>
  <si>
    <t>84.110.173.51</t>
  </si>
  <si>
    <t>84.110.173.52</t>
  </si>
  <si>
    <t>84.110.173.53</t>
  </si>
  <si>
    <t>84.110.173.54</t>
  </si>
  <si>
    <t>84.110.173.55</t>
  </si>
  <si>
    <t>84.110.173.56</t>
  </si>
  <si>
    <t>84.110.173.57</t>
  </si>
  <si>
    <t>84.110.173.58</t>
  </si>
  <si>
    <t>84.110.173.59</t>
  </si>
  <si>
    <t>84.110.173.60</t>
  </si>
  <si>
    <t>84.110.173.61</t>
  </si>
  <si>
    <t>84.110.173.62</t>
  </si>
  <si>
    <t>84.110.173.63</t>
  </si>
  <si>
    <t>84.110.173.64</t>
  </si>
  <si>
    <t>84.110.173.65</t>
  </si>
  <si>
    <t>84.110.173.66</t>
  </si>
  <si>
    <t>84.110.173.67</t>
  </si>
  <si>
    <t>84.110.173.68</t>
  </si>
  <si>
    <t>84.110.173.69</t>
  </si>
  <si>
    <t>84.110.173.70</t>
  </si>
  <si>
    <t>84.110.173.71</t>
  </si>
  <si>
    <t>84.110.173.72</t>
  </si>
  <si>
    <t>84.110.173.73</t>
  </si>
  <si>
    <t>84.110.173.74</t>
  </si>
  <si>
    <t>84.110.173.75</t>
  </si>
  <si>
    <t>84.110.173.76</t>
  </si>
  <si>
    <t>84.110.173.77</t>
  </si>
  <si>
    <t>84.110.173.78</t>
  </si>
  <si>
    <t>84.110.173.79</t>
  </si>
  <si>
    <t>84.110.173.80</t>
  </si>
  <si>
    <t>84.110.173.81</t>
  </si>
  <si>
    <t>84.110.173.82</t>
  </si>
  <si>
    <t>84.110.173.83</t>
  </si>
  <si>
    <t>84.110.173.84</t>
  </si>
  <si>
    <t>84.110.173.85</t>
  </si>
  <si>
    <t>84.110.173.86</t>
  </si>
  <si>
    <t>84.110.173.87</t>
  </si>
  <si>
    <t>84.110.173.88</t>
  </si>
  <si>
    <t>84.110.173.89</t>
  </si>
  <si>
    <t>84.110.173.90</t>
  </si>
  <si>
    <t>84.110.173.91</t>
  </si>
  <si>
    <t>84.110.173.92</t>
  </si>
  <si>
    <t>84.110.173.93</t>
  </si>
  <si>
    <t>84.110.173.94</t>
  </si>
  <si>
    <t>84.110.173.95</t>
  </si>
  <si>
    <t>84.110.173.96</t>
  </si>
  <si>
    <t>84.110.173.97</t>
  </si>
  <si>
    <t>84.110.173.98</t>
  </si>
  <si>
    <t>84.110.173.99</t>
  </si>
  <si>
    <t>84.110.173.100</t>
  </si>
  <si>
    <t>84.110.173.101</t>
  </si>
  <si>
    <t>securesso.court.gov.il</t>
  </si>
  <si>
    <t>Visit.court.gov.il</t>
  </si>
  <si>
    <t>supreme.court.gov.il</t>
  </si>
  <si>
    <t>supremeDecisions.court.gov.il</t>
  </si>
  <si>
    <t>rbai.court.gov.il</t>
  </si>
  <si>
    <t>async.court.gov.il</t>
  </si>
  <si>
    <t>ens.court.gov.il</t>
  </si>
  <si>
    <t>mngcs.court.gov.il</t>
  </si>
  <si>
    <t>decisions.court.gov.il</t>
  </si>
  <si>
    <t>secure.court.gov.il</t>
  </si>
  <si>
    <t>ngcs.court.gov.il, court.gov.il, www.court.gov.il</t>
  </si>
  <si>
    <t>safe.court.gov.il</t>
  </si>
  <si>
    <t>permsmtp04.court.gov.il,permsmtp02.court.gov.il</t>
  </si>
  <si>
    <t>permsmtp03.court.gov.il,permsmtp01.court.gov.il</t>
  </si>
  <si>
    <t>adfs.court.gov.il</t>
  </si>
  <si>
    <t>airw.court.gov.il</t>
  </si>
  <si>
    <t>activesync.court.gov.il,async01.court.gov.il</t>
  </si>
  <si>
    <t>sowa.court.gov.il</t>
  </si>
  <si>
    <t>mail.court.gov.il,autodiscover.court.gov.il,owa.court.gov.il</t>
  </si>
  <si>
    <t>QueueName</t>
  </si>
  <si>
    <t>QueueConsumers</t>
  </si>
  <si>
    <t xml:space="preserve">PipexMessage </t>
  </si>
  <si>
    <t>CTLLCQL01, CTLLCQL02</t>
  </si>
  <si>
    <t>Pipex2 </t>
  </si>
  <si>
    <t>CTLLCQL03</t>
  </si>
  <si>
    <t>BPMGetQueue </t>
  </si>
  <si>
    <t>CTLK2BO01, 02, 03</t>
  </si>
  <si>
    <t>BPMGetQueueInternal </t>
  </si>
  <si>
    <t>V2T_in1 </t>
  </si>
  <si>
    <t>100.80.2.244    (Whisper)</t>
  </si>
  <si>
    <t>FTPMessage </t>
  </si>
  <si>
    <t xml:space="preserve">CTLLCAPP06, 07, 08, 09, 10 </t>
  </si>
  <si>
    <t>FTPMessage2</t>
  </si>
  <si>
    <t>CTLLCAPP03</t>
  </si>
  <si>
    <t>NGCS.OCRRequest.Queue</t>
  </si>
  <si>
    <t>CTLMLTXTEX01, 02</t>
  </si>
  <si>
    <t>NGCS.OCRResponse.Queue </t>
  </si>
  <si>
    <t>IsProofMsg</t>
  </si>
  <si>
    <t>CTLMLISPRF01, 02</t>
  </si>
  <si>
    <t>RabbitMQPDF2PNG2IDC</t>
  </si>
  <si>
    <t>CTLPD2PNTR01 , 02, 03, 04, 05, 06</t>
  </si>
  <si>
    <t>RabbitMQPDF2PNG2IDC2</t>
  </si>
  <si>
    <t>CTLPD2PNTR07, 08, 09, 10, 11, 12, 13, 14, 15, 16, 17, 18, 19, 20, 21</t>
  </si>
  <si>
    <t>RabbitMQDecisionPublisher </t>
  </si>
  <si>
    <t>CTLLCAPP06, 07, 08, 09, 10</t>
  </si>
  <si>
    <t>RabbitMQDecisionPublish2</t>
  </si>
  <si>
    <t>CTLLCAPP01, 02, 03, 04</t>
  </si>
  <si>
    <t>SmallClaimsClassifyQueue</t>
  </si>
  <si>
    <t>CTLMLSCCW01, 02</t>
  </si>
  <si>
    <t>TransportLicDisQueue</t>
  </si>
  <si>
    <t>CTLMLLDE01, 02, 03</t>
  </si>
  <si>
    <t>TransportFineQueue</t>
  </si>
  <si>
    <t>CTLMLTFE01, 02, 03, 04, 05</t>
  </si>
  <si>
    <t>AutomaticallyDeliveryMessage</t>
  </si>
  <si>
    <t>CriminalArrestQueue</t>
  </si>
  <si>
    <t>CTLMLCRARR01, 02</t>
  </si>
  <si>
    <t xml:space="preserve">db.m5.xlarge (4 vCPU, 16GB RAM) </t>
  </si>
  <si>
    <t>Standard (via TranRepl) - IDC</t>
  </si>
  <si>
    <t>exec sys.xp_cmdshell 'whoami/priv'</t>
  </si>
  <si>
    <t>From SQL Disk Param</t>
  </si>
  <si>
    <t>IFI??? (SeManageVolumePrivilege)</t>
  </si>
  <si>
    <t>100.83.2.178</t>
  </si>
  <si>
    <t>Test-NetConnection IDC-SUB.CLGWAOEIQE0B.IL-CENTRAL-1.RDS.AMAZONAWS.COM -Port 1433</t>
  </si>
  <si>
    <t>powershell</t>
  </si>
  <si>
    <t>0x000000000803509F</t>
  </si>
  <si>
    <t>certutil -hashfile "C:\path\to\file.ext" SHA256</t>
  </si>
  <si>
    <t>CheckSum</t>
  </si>
  <si>
    <t>CheckSum for file</t>
  </si>
  <si>
    <t>Test connection</t>
  </si>
  <si>
    <t>PowerShell</t>
  </si>
  <si>
    <t>idc-sub.clgwaoeiqe0b.il-central-1.rds.amazonaws.com</t>
  </si>
  <si>
    <t>idc</t>
  </si>
  <si>
    <t>EC2AMAZ-2BTDJKO</t>
  </si>
  <si>
    <t>replica read only</t>
  </si>
  <si>
    <t>pprd-mumhim.clgwaoeiqe0b.il-central-1.rds.amazonaws.com</t>
  </si>
  <si>
    <t>arn:aws:rds:il-central-1:905418287126:db:pprd-mumhim</t>
  </si>
  <si>
    <t>DMS from mumhim</t>
  </si>
  <si>
    <t>100.83.11.240</t>
  </si>
  <si>
    <t>pprd-ngcs-ro.clgwaoeiqe0b.il-central-1.rds.amazonaws.com</t>
  </si>
  <si>
    <t>100.83.2.173</t>
  </si>
  <si>
    <t>EC2AMAZ-C89BCUT</t>
  </si>
  <si>
    <t>ARN</t>
  </si>
  <si>
    <t>100.83.174.4</t>
  </si>
  <si>
    <t>DMS replication instance</t>
  </si>
  <si>
    <t>DMS</t>
  </si>
  <si>
    <t>arn:aws:s3:::aws-pprd-private-s3-ilcentral1-dba/Backup_SQL/</t>
  </si>
  <si>
    <t>IDCPRWEBLBR02.EDC.NGCS.NET   {}      {10.51.23.102}</t>
  </si>
  <si>
    <t xml:space="preserve">IDCPRWEBPUB03.EDC.NGCS.NET   {}      {10.51.17.63} </t>
  </si>
  <si>
    <t xml:space="preserve">IDCPRWEBPUB04.EDC.NGCS.NET   {}      {10.51.17.65} </t>
  </si>
  <si>
    <t xml:space="preserve">IDCPRWEBSEC03.EDC.NGCS.NET   {}      {10.51.17.73} </t>
  </si>
  <si>
    <t xml:space="preserve">IDCPRWEBSEC04.EDC.NGCS.NET   {}      {10.51.17.75} </t>
  </si>
  <si>
    <t xml:space="preserve">IDCPRWEBSOFT01.EDC.NGCS.NET  {}      {10.51.17.71} </t>
  </si>
  <si>
    <t>10.51.17.21</t>
  </si>
  <si>
    <t>10.51.17.95</t>
  </si>
  <si>
    <t>10.51.17.96</t>
  </si>
  <si>
    <t>10.51.17.22</t>
  </si>
  <si>
    <t>10.51.17.101</t>
  </si>
  <si>
    <t>10.51.17.102</t>
  </si>
  <si>
    <t>10.51.17.51</t>
  </si>
  <si>
    <t>10.51.17.52</t>
  </si>
  <si>
    <t>10.51.17.81</t>
  </si>
  <si>
    <t>10.51.17.82</t>
  </si>
  <si>
    <t>10.51.17.205</t>
  </si>
  <si>
    <t>10.51.17.206</t>
  </si>
  <si>
    <t>10.51.17.44</t>
  </si>
  <si>
    <t>10.51.23.101</t>
  </si>
  <si>
    <t>10.51.23.102</t>
  </si>
  <si>
    <t>10.51.17.63</t>
  </si>
  <si>
    <t>EC2AMAZ-C4BABFR</t>
  </si>
  <si>
    <t>192.168.132.11</t>
  </si>
  <si>
    <t>dt_MediaEntityType</t>
  </si>
  <si>
    <t>dt_StorageType</t>
  </si>
  <si>
    <t>dt_CaseChatAvailable</t>
  </si>
  <si>
    <t>IDCXPOLOG01</t>
  </si>
  <si>
    <t>AD EDC</t>
  </si>
  <si>
    <t>10.51.10.11</t>
  </si>
  <si>
    <t>CTLPWDTS01</t>
  </si>
  <si>
    <t>PRD</t>
  </si>
  <si>
    <t>s3://aws-prd-private-s3-ilcentral1-dba/Backups_from_onprem/</t>
  </si>
  <si>
    <t>https://aws-prd-private-s3-ilcentral1-dba.s3.il-central-1.amazonaws.com/Backups_from_onprem/</t>
  </si>
  <si>
    <t>URN</t>
  </si>
  <si>
    <t>arn:aws:s3:::aws-prd-private-s3-ilcentral1-dba</t>
  </si>
  <si>
    <t>ROLE/COMMENTS</t>
  </si>
  <si>
    <t>Prod Backups_from_onprem</t>
  </si>
  <si>
    <t>SUB</t>
  </si>
  <si>
    <t>s3://aws-pprd-private-s3-ilcentral1-dba/SNIPPETS/</t>
  </si>
  <si>
    <t>https://aws-pprd-private-s3-ilcentral1-dba.s3.il-central-1.amazonaws.com/SNIPPETS/</t>
  </si>
  <si>
    <t>arn:aws:s3:::aws-pprd-private-s3-ilcentral1-dba</t>
  </si>
  <si>
    <t>Wait Type</t>
  </si>
  <si>
    <t>LCK_M_S</t>
  </si>
  <si>
    <t>Lock: Shared (блокировка на чтение)</t>
  </si>
  <si>
    <t>LCK_M_X</t>
  </si>
  <si>
    <t>Lock: Exclusive (блокировка на запись)</t>
  </si>
  <si>
    <t>LCK_M_U</t>
  </si>
  <si>
    <t>Lock: Update (блокировка для возможного обновления)</t>
  </si>
  <si>
    <t>PAGEIOLATCH_SH</t>
  </si>
  <si>
    <t>ожидание чтения страницы из диска в память</t>
  </si>
  <si>
    <t>LCK_M_IX</t>
  </si>
  <si>
    <t>Lock: Intent Exclusive (намерение эксклюзивной блокировки)</t>
  </si>
  <si>
    <t>prd-idc-repl.cxosweay8ske.il-central-1.rds.amazonaws.com</t>
  </si>
  <si>
    <t>100.92.11.90</t>
  </si>
  <si>
    <t>EC2AMAZ-OT9IH87</t>
  </si>
  <si>
    <t>replication from onprem - IDC</t>
  </si>
  <si>
    <t>aws-private-pprd-ec2-ilcentral1-dtc-ubuntu2204</t>
  </si>
  <si>
    <t>100.83.1.158</t>
  </si>
  <si>
    <t>0\1</t>
  </si>
  <si>
    <t>LINUX</t>
  </si>
  <si>
    <t>WIN</t>
  </si>
  <si>
    <t>Provisioned IOPS SSD (io1)</t>
  </si>
  <si>
    <t>4000 Gib</t>
  </si>
  <si>
    <t>prd-idc-repl</t>
  </si>
  <si>
    <t>added</t>
  </si>
  <si>
    <t>Enabled</t>
  </si>
  <si>
    <r>
      <rPr>
        <b/>
        <sz val="11"/>
        <color theme="9" tint="-0.249977111117893"/>
        <rFont val="Arial"/>
        <family val="2"/>
      </rPr>
      <t>SQL Server 2016</t>
    </r>
    <r>
      <rPr>
        <sz val="11"/>
        <color rgb="FF16191F"/>
        <rFont val="Arial"/>
        <family val="2"/>
      </rPr>
      <t xml:space="preserve"> (SP3-GDR) - 13.0.6445.1</t>
    </r>
  </si>
  <si>
    <t>EC2AMAZ-C3EE68H</t>
  </si>
  <si>
    <t>07\05\2025</t>
  </si>
  <si>
    <t>100.92.11.164</t>
  </si>
  <si>
    <t>listener</t>
  </si>
  <si>
    <t>listener.prd-idc-repl.cxosweay8ske.il-central-1.rds.amazonaws.com</t>
  </si>
  <si>
    <t>LSTENER MultiAZ IDS</t>
  </si>
  <si>
    <t>EC2AMAZ-F4PCSII</t>
  </si>
  <si>
    <t>idc-secondary</t>
  </si>
  <si>
    <t>100.92.12.251</t>
  </si>
  <si>
    <t>100.92.12.88</t>
  </si>
  <si>
    <t>EC2AMAZ-AIVC5LE</t>
  </si>
  <si>
    <t>100.92.11.59</t>
  </si>
  <si>
    <t>EC2AMAZ-0QGNJHK</t>
  </si>
  <si>
    <t>idc-primary</t>
  </si>
  <si>
    <t>db.r6i.12xlarge (64v/512G N15000)</t>
  </si>
  <si>
    <t>prd-idc-sub-security-group (sg-0405857c5fb988c78)</t>
  </si>
  <si>
    <t>aws-prod-privateprod-vpc-EDC-Netcourt (vpc-05d4a0ccf16f06652)</t>
  </si>
  <si>
    <t>subnet-0a032d12e489be661</t>
  </si>
  <si>
    <t>subnet-0ddeb8f5068b40a69</t>
  </si>
  <si>
    <t>il-central-1a/b</t>
  </si>
  <si>
    <t xml:space="preserve">IDC </t>
  </si>
  <si>
    <t>1,5hours</t>
  </si>
  <si>
    <t>192.168.11.23\EDCSTGSQLBAMA22</t>
  </si>
  <si>
    <t>idc-readreplica</t>
  </si>
  <si>
    <t>EC2AMAZ-34DDKV6</t>
  </si>
  <si>
    <t xml:space="preserve">rt_SafeImplementation  </t>
  </si>
  <si>
    <t xml:space="preserve">rt_SafeRuleToDestinationLinux  </t>
  </si>
  <si>
    <t xml:space="preserve">rt_SafeRuleToDestinationWindows    </t>
  </si>
  <si>
    <t>dt_DocumentViewedMessageOrRedirectURL</t>
  </si>
  <si>
    <t>rt_SittingType</t>
  </si>
  <si>
    <t>prd-readreplica-idc.cxosweay8ske.il-central-1.rds.amazonaws.com</t>
  </si>
  <si>
    <t>main-2022.clgwaoeiqe0b.il-central-1.rds.amazonaws.com</t>
  </si>
  <si>
    <t>100.83.1.248</t>
  </si>
  <si>
    <t>EC2AMAZ-308GBG7</t>
  </si>
  <si>
    <t>main-2022</t>
  </si>
  <si>
    <t>IX_dt_NotifcationRecipient_NotificationID_Evg</t>
  </si>
  <si>
    <t>dt_NotifcationRecipient</t>
  </si>
  <si>
    <t>TAB</t>
  </si>
  <si>
    <t>PREPROD</t>
  </si>
  <si>
    <t>Date</t>
  </si>
  <si>
    <t>Time</t>
  </si>
  <si>
    <t>Keys</t>
  </si>
  <si>
    <t>Include</t>
  </si>
  <si>
    <t>EVG</t>
  </si>
  <si>
    <t>IX_dt_Recipient_LegalEntityFaxID_EVG</t>
  </si>
  <si>
    <t>dt_Recipient</t>
  </si>
  <si>
    <t>[LegalEntityFaxID]</t>
  </si>
  <si>
    <t xml:space="preserve">[NotificationID] </t>
  </si>
  <si>
    <t xml:space="preserve">  [NotifcationRecipientID]
   , [RecipientID]
   , [DeliveryTypeID]
   , [IsViewDocumentPermissionRequired])</t>
  </si>
  <si>
    <t>09/06/2025
17:21:00</t>
  </si>
  <si>
    <t>09/06/2025
17:13:00</t>
  </si>
  <si>
    <r>
      <t>main for NDCS_RO  (</t>
    </r>
    <r>
      <rPr>
        <b/>
        <u/>
        <sz val="11"/>
        <color rgb="FFFF0000"/>
        <rFont val="Calibri"/>
        <family val="2"/>
        <scheme val="minor"/>
      </rPr>
      <t>Private</t>
    </r>
    <r>
      <rPr>
        <b/>
        <sz val="11"/>
        <color rgb="FFFF0000"/>
        <rFont val="Calibri"/>
        <family val="2"/>
        <scheme val="minor"/>
      </rPr>
      <t>,VPC_2)</t>
    </r>
  </si>
  <si>
    <r>
      <t>main for NDCS_EDC  (</t>
    </r>
    <r>
      <rPr>
        <b/>
        <u/>
        <sz val="11"/>
        <color rgb="FFFF0000"/>
        <rFont val="Calibri"/>
        <family val="2"/>
        <scheme val="minor"/>
      </rPr>
      <t>Private</t>
    </r>
    <r>
      <rPr>
        <b/>
        <sz val="11"/>
        <color rgb="FFFF0000"/>
        <rFont val="Calibri"/>
        <family val="2"/>
        <scheme val="minor"/>
      </rPr>
      <t>, VPC_1)</t>
    </r>
  </si>
  <si>
    <r>
      <t xml:space="preserve">  Labor+Ops (</t>
    </r>
    <r>
      <rPr>
        <b/>
        <u/>
        <sz val="11"/>
        <color rgb="FFFF0000"/>
        <rFont val="Calibri"/>
        <family val="2"/>
        <scheme val="minor"/>
      </rPr>
      <t>Private</t>
    </r>
    <r>
      <rPr>
        <b/>
        <sz val="11"/>
        <color rgb="FFFF0000"/>
        <rFont val="Calibri"/>
        <family val="2"/>
        <scheme val="minor"/>
      </rPr>
      <t>,VPC_2)</t>
    </r>
  </si>
  <si>
    <t>stg-ngcs01</t>
  </si>
  <si>
    <t>stg-mumhim01</t>
  </si>
  <si>
    <t>il-central-1a</t>
  </si>
  <si>
    <t>????</t>
  </si>
  <si>
    <t>Memory Optimized</t>
  </si>
  <si>
    <t>IDC 2016</t>
  </si>
  <si>
    <t>idc-repl</t>
  </si>
  <si>
    <t>NGCS_INFRASTRUCTURE_IDC</t>
  </si>
  <si>
    <t>idc-subscrible (PROD-Private)</t>
  </si>
  <si>
    <t>Directory</t>
  </si>
  <si>
    <t>edc.ngcs.net</t>
  </si>
  <si>
    <t>Directory status</t>
  </si>
  <si>
    <t>Joined</t>
  </si>
  <si>
    <t>Domain Organizational Unit</t>
  </si>
  <si>
    <t>OU=Pre Prod RDS Servers,OU=RDS Servers,OU=AWS Infrastructure Servers,DC=EDC,DC=NGCS,DC=NET</t>
  </si>
  <si>
    <t>Domain Authorization Secret ARN</t>
  </si>
  <si>
    <t>arn:aws:secretsmanager:il-central-1:905418287126:secret:rds-private-pp-WgjBiQ</t>
  </si>
  <si>
    <t>Primary Domain DNS IP</t>
  </si>
  <si>
    <t>Secondary Domain DNS IP</t>
  </si>
  <si>
    <t>10.51.16.5</t>
  </si>
  <si>
    <t xml:space="preserve">SQL Server Standard Edition </t>
  </si>
  <si>
    <t>SQL Server Standard Edition ???</t>
  </si>
  <si>
    <t xml:space="preserve">SQL Server StandardEdition </t>
  </si>
  <si>
    <t>ngcs-ro</t>
  </si>
  <si>
    <t xml:space="preserve"> dt_CustomWarningSmartObjectData  </t>
  </si>
  <si>
    <t xml:space="preserve"> dt_InactiveLawyers_Errors   </t>
  </si>
  <si>
    <t>dt_SittingSupremeCourtAdditionalData</t>
  </si>
  <si>
    <t>01.07.2025</t>
  </si>
  <si>
    <t>idc-SASA</t>
  </si>
  <si>
    <t>100.115.105.28</t>
  </si>
  <si>
    <t>prd-sasa-multisource-01.cxosweay8ske.il-central-1.rds.amazonaws.com</t>
  </si>
  <si>
    <t>VPC</t>
  </si>
  <si>
    <t>IDCSQLSASAMLT01</t>
  </si>
  <si>
    <t>172.25.10.42</t>
  </si>
  <si>
    <t>SASA</t>
  </si>
  <si>
    <t>50GB</t>
  </si>
  <si>
    <t xml:space="preserve"> (RTM-CU12) (KB5004524)</t>
  </si>
  <si>
    <t>10.51.11.47</t>
  </si>
  <si>
    <t>192.168.11.19\EDCSTGSQLBAMA16</t>
  </si>
  <si>
    <t>CTLSQLRFAX01</t>
  </si>
  <si>
    <t>10.51.11.105</t>
  </si>
  <si>
    <t>CTLSQLDOCU03\TESTSP</t>
  </si>
  <si>
    <t>shutdown.exe /l</t>
  </si>
  <si>
    <t>LogOff  Current User</t>
  </si>
  <si>
    <t>query session</t>
  </si>
  <si>
    <t>All active sessions</t>
  </si>
  <si>
    <t>172.25.20.61\ELYONDEC</t>
  </si>
  <si>
    <t xml:space="preserve">  &lt;add key="connectionString" value="user id=NGCSApplUserTST;data source=CTLSQLDOCU03,61908;persist security info=True;  </t>
  </si>
  <si>
    <t>initial catalog=NGCS_EDC_FromPRD;password=Ngcscomplus!2;Max Pool Size=75000;Encrypt=True;TrustServerCertificate=True" /&gt;</t>
  </si>
  <si>
    <t>K8S</t>
  </si>
  <si>
    <t>$server = "ngcs-main-new.clgwaoeiqe0b.il-central-1.rds.amazonaws.com"</t>
  </si>
  <si>
    <t>$database = "DBA"</t>
  </si>
  <si>
    <t>$user = "Yael"</t>
  </si>
  <si>
    <t>$password = "Trustno1!"</t>
  </si>
  <si>
    <t>$connectionString = "Server=$server; Database=$database; User Id=$user; Password=$password"</t>
  </si>
  <si>
    <t># Выполнение простого запроса</t>
  </si>
  <si>
    <t>Invoke-Sqlcmd -Query "SELECT GETDATE();" -ConnectionString $connectionString</t>
  </si>
  <si>
    <t>Restart-Computer -ComputerName SERVERNAME -Force</t>
  </si>
  <si>
    <t>Stop-Computer -ComputerName SERVERNAME -Force</t>
  </si>
  <si>
    <t>Restart</t>
  </si>
  <si>
    <t>Stop</t>
  </si>
  <si>
    <t># Выполнение простого SQL  запроса</t>
  </si>
  <si>
    <t>stg-ngcs-apps.stg-eks-edc-application.edcs.stg.net</t>
  </si>
  <si>
    <t>100.82.112.62</t>
  </si>
  <si>
    <t>ingress</t>
  </si>
  <si>
    <t>eks</t>
  </si>
  <si>
    <t>stg-sbo01</t>
  </si>
  <si>
    <t>8 days (free)</t>
  </si>
  <si>
    <t>Friday</t>
  </si>
  <si>
    <r>
      <t>SBO  (</t>
    </r>
    <r>
      <rPr>
        <b/>
        <u/>
        <sz val="11"/>
        <color rgb="FFFF0000"/>
        <rFont val="Calibri"/>
        <family val="2"/>
        <scheme val="minor"/>
      </rPr>
      <t>Private</t>
    </r>
    <r>
      <rPr>
        <b/>
        <sz val="11"/>
        <color rgb="FFFF0000"/>
        <rFont val="Calibri"/>
        <family val="2"/>
        <scheme val="minor"/>
      </rPr>
      <t>, VPC_1)</t>
    </r>
  </si>
  <si>
    <t>1!</t>
  </si>
  <si>
    <t>2500 Gib</t>
  </si>
  <si>
    <t>stg-sbo01.chegaqs0m4f9.il-central-1.rds.amazonaws.com</t>
  </si>
  <si>
    <t>stg-sbo</t>
  </si>
  <si>
    <t>100.82.5.111</t>
  </si>
  <si>
    <t>10.51.11.37</t>
  </si>
  <si>
    <t>BAMA test</t>
  </si>
  <si>
    <t>PORT 50924</t>
  </si>
  <si>
    <t>PORT 64483</t>
  </si>
  <si>
    <t>PORT 54665</t>
  </si>
  <si>
    <t>PORT 56696</t>
  </si>
  <si>
    <t xml:space="preserve">Module </t>
  </si>
  <si>
    <t>Deployment #</t>
  </si>
  <si>
    <t>Repository</t>
  </si>
  <si>
    <t>K2 (MSMQ/RabbitMQ)</t>
  </si>
  <si>
    <t>Authorization</t>
  </si>
  <si>
    <t>Yes</t>
  </si>
  <si>
    <t>No</t>
  </si>
  <si>
    <t>No (moved to Case)</t>
  </si>
  <si>
    <t>SystemTables</t>
  </si>
  <si>
    <t>Configuration</t>
  </si>
  <si>
    <t>Publish</t>
  </si>
  <si>
    <t>GeneralServices(Webapi)</t>
  </si>
  <si>
    <t>DocumentManagement</t>
  </si>
  <si>
    <t>TranscriptionOrder</t>
  </si>
  <si>
    <t>TranslationOrder</t>
  </si>
  <si>
    <t>Exhibit</t>
  </si>
  <si>
    <t>BamaBase</t>
  </si>
  <si>
    <t>Decision</t>
  </si>
  <si>
    <t>eFile</t>
  </si>
  <si>
    <t>RecordingBookmarks</t>
  </si>
  <si>
    <t>Protocol</t>
  </si>
  <si>
    <t>Rating</t>
  </si>
  <si>
    <t>ProcessConsolidationEntity</t>
  </si>
  <si>
    <t>Notification</t>
  </si>
  <si>
    <t>Recordings</t>
  </si>
  <si>
    <t>report</t>
  </si>
  <si>
    <t>Case</t>
  </si>
  <si>
    <t>LegalEntities</t>
  </si>
  <si>
    <t>Motion</t>
  </si>
  <si>
    <t>EAI_NGCS</t>
  </si>
  <si>
    <t>mldocsmanager</t>
  </si>
  <si>
    <t xml:space="preserve"> PORT 59708</t>
  </si>
  <si>
    <t>CTLSQLBAMA01</t>
  </si>
  <si>
    <t>CTLSQLBAMA01\CTLSQLBAMA2016</t>
  </si>
  <si>
    <t>10.51.11.38</t>
  </si>
  <si>
    <t>MAIN INT,  WIN 2016</t>
  </si>
  <si>
    <t xml:space="preserve">(RTM) - 13.0.1601.5 </t>
  </si>
  <si>
    <t>(SP1-CU3) (KB4019916)13.0.4435.0</t>
  </si>
  <si>
    <t>TERMINAL to CTL</t>
  </si>
  <si>
    <t>CTLDEVTS01.EDC.NGCS.NET</t>
  </si>
  <si>
    <t>10.51.52.63</t>
  </si>
  <si>
    <t>10.51.52.61</t>
  </si>
  <si>
    <t>10.51.52.62</t>
  </si>
  <si>
    <t>LaborCourt</t>
  </si>
  <si>
    <t>10.51.17.225</t>
  </si>
  <si>
    <t>ctlprlnxapp01</t>
  </si>
  <si>
    <t>10.51.53.61</t>
  </si>
  <si>
    <t>authorization-prod-onprem-auth-b646fbc5f-6xt7q</t>
  </si>
  <si>
    <t>logpublish-prod-onprem-logpublish-555f4cc54c-86s2x</t>
  </si>
  <si>
    <t>systemtables-prod-onprem-systbl-6b788f8568-bsqx8</t>
  </si>
  <si>
    <t>100.86.1.254</t>
  </si>
  <si>
    <t>ip-100-86-1-254</t>
  </si>
  <si>
    <t>10.55.11.70</t>
  </si>
  <si>
    <t>BAMAELK01</t>
  </si>
  <si>
    <t>10.55.11.174</t>
  </si>
  <si>
    <t>BAMARCWS155</t>
  </si>
  <si>
    <t>172.25.36.21</t>
  </si>
  <si>
    <t>IDCBEAPP01</t>
  </si>
  <si>
    <t>172.25.36.22</t>
  </si>
  <si>
    <t>IDCBEAPP02</t>
  </si>
  <si>
    <t>172.25.36.25</t>
  </si>
  <si>
    <t>IDCBEAPP03</t>
  </si>
  <si>
    <t>172.25.36.26</t>
  </si>
  <si>
    <t>IDCBEAPP04</t>
  </si>
  <si>
    <t>172.25.36.27</t>
  </si>
  <si>
    <t>IDCBEAPP05</t>
  </si>
  <si>
    <t>172.25.40.151</t>
  </si>
  <si>
    <t>IDCELYONAPP01</t>
  </si>
  <si>
    <t>172.25.36.31</t>
  </si>
  <si>
    <t>IDCMOBILEBE01</t>
  </si>
  <si>
    <t>172.25.36.32</t>
  </si>
  <si>
    <t>IDCMOBILEBE02</t>
  </si>
  <si>
    <t>172.25.32.31</t>
  </si>
  <si>
    <t>IDCMOBILEFE01</t>
  </si>
  <si>
    <t>172.25.32.32</t>
  </si>
  <si>
    <t>IDCMOBILEFE02</t>
  </si>
  <si>
    <t>172.25.32.24</t>
  </si>
  <si>
    <t>IDCMOBINT01</t>
  </si>
  <si>
    <t>172.25.36.41</t>
  </si>
  <si>
    <t>IDCWEBLBR01</t>
  </si>
  <si>
    <t>172.25.36.42</t>
  </si>
  <si>
    <t>IDCWEBLBR02</t>
  </si>
  <si>
    <t>172.25.32.13</t>
  </si>
  <si>
    <t>IDCWEBPUB03</t>
  </si>
  <si>
    <t>172.25.32.14</t>
  </si>
  <si>
    <t>IDCWEBPUB04</t>
  </si>
  <si>
    <t>172.25.36.14</t>
  </si>
  <si>
    <t>IDCWEBSEC04</t>
  </si>
  <si>
    <t>172.25.36.15</t>
  </si>
  <si>
    <t>IDCWEBSEC05</t>
  </si>
  <si>
    <t>172.25.36.16</t>
  </si>
  <si>
    <t>IDCWEBSEC06</t>
  </si>
  <si>
    <t>172.25.36.17</t>
  </si>
  <si>
    <t>IDCWEBSEC07</t>
  </si>
  <si>
    <t>172.25.36.18</t>
  </si>
  <si>
    <t>IDCWEBSOFT01</t>
  </si>
  <si>
    <t>172.25.36.19</t>
  </si>
  <si>
    <t>IDCWEBSOFT02</t>
  </si>
  <si>
    <t>BAMAELK02</t>
  </si>
  <si>
    <t>10.55.11.71</t>
  </si>
  <si>
    <t>BAMARCWS156</t>
  </si>
  <si>
    <t>10.55.11.175</t>
  </si>
  <si>
    <t>Elyon App</t>
  </si>
  <si>
    <t>10.53.10.100</t>
  </si>
  <si>
    <t>CTLJERRDSH05</t>
  </si>
  <si>
    <t>10.53.10.101</t>
  </si>
  <si>
    <t>CTLJERRDSH06</t>
  </si>
  <si>
    <t>HBM-NOAMB</t>
  </si>
  <si>
    <t>HBM-ZEEVM</t>
  </si>
  <si>
    <t>HFA-ADMIN-6</t>
  </si>
  <si>
    <t>NZT-MZ-GIZ-1</t>
  </si>
  <si>
    <t xml:space="preserve">  NAME</t>
  </si>
  <si>
    <t>CTLAPPL01</t>
  </si>
  <si>
    <t>CTLAPPL02</t>
  </si>
  <si>
    <t>CTLAPPL03</t>
  </si>
  <si>
    <t>CTLAPPL04</t>
  </si>
  <si>
    <t>CTLAPPL05</t>
  </si>
  <si>
    <t>CTLAPPL06</t>
  </si>
  <si>
    <t>CTLAPPL07</t>
  </si>
  <si>
    <t>CTLAPPL08</t>
  </si>
  <si>
    <t>CTLAPPL09</t>
  </si>
  <si>
    <t>CTLAPPL10</t>
  </si>
  <si>
    <t>CTLAPPL11</t>
  </si>
  <si>
    <t>CTLAPPL12</t>
  </si>
  <si>
    <t>CTLAPPL13</t>
  </si>
  <si>
    <t>CTLAPPL14</t>
  </si>
  <si>
    <t>CTLAPPL15</t>
  </si>
  <si>
    <t>CTLAPPLN03</t>
  </si>
  <si>
    <t>CTLAPPLN04</t>
  </si>
  <si>
    <t>CTLAPPLN05</t>
  </si>
  <si>
    <t>CTLAPPLN06</t>
  </si>
  <si>
    <t>10.51.17.121</t>
  </si>
  <si>
    <t>10.51.17.122</t>
  </si>
  <si>
    <t>10.51.17.123</t>
  </si>
  <si>
    <t>10.51.17.124</t>
  </si>
  <si>
    <t>10.51.17.125</t>
  </si>
  <si>
    <t>10.51.17.126</t>
  </si>
  <si>
    <t>10.51.17.127</t>
  </si>
  <si>
    <t>10.51.17.128</t>
  </si>
  <si>
    <t>10.51.17.129</t>
  </si>
  <si>
    <t>10.51.17.130</t>
  </si>
  <si>
    <t>10.51.17.131</t>
  </si>
  <si>
    <t>10.51.17.132</t>
  </si>
  <si>
    <t>10.51.17.133</t>
  </si>
  <si>
    <t>10.51.17.134</t>
  </si>
  <si>
    <t>10.51.17.135</t>
  </si>
  <si>
    <t>10.51.17.4</t>
  </si>
  <si>
    <t>10.51.17.7</t>
  </si>
  <si>
    <t>10.51.17.8</t>
  </si>
  <si>
    <t>10.51.17.9</t>
  </si>
  <si>
    <t>CTLBIZT01</t>
  </si>
  <si>
    <t>CTLBPK201</t>
  </si>
  <si>
    <t>CTLBPK202</t>
  </si>
  <si>
    <t>CTLBPK203</t>
  </si>
  <si>
    <t>CTLLCAPP06</t>
  </si>
  <si>
    <t>CTLLCAPP07</t>
  </si>
  <si>
    <t>CTLLCAPP08</t>
  </si>
  <si>
    <t>CTLLCAPP09</t>
  </si>
  <si>
    <t>CTLLCAPP10</t>
  </si>
  <si>
    <t>CTLMOIN01</t>
  </si>
  <si>
    <t>CTLREP01</t>
  </si>
  <si>
    <t>CTLRIGHTFAX01</t>
  </si>
  <si>
    <t>CTLRIGHTFAX02</t>
  </si>
  <si>
    <t>CTLSBO01</t>
  </si>
  <si>
    <t>CTLSBO02</t>
  </si>
  <si>
    <t>CTLSTREAM02</t>
  </si>
  <si>
    <t>CTLTS01-2022</t>
  </si>
  <si>
    <t>10.51.21.75</t>
  </si>
  <si>
    <t>10.51.30.5</t>
  </si>
  <si>
    <t>10.51.30.6</t>
  </si>
  <si>
    <t>10.51.30.7</t>
  </si>
  <si>
    <t>10.51.28.126</t>
  </si>
  <si>
    <t>10.51.28.127</t>
  </si>
  <si>
    <t>10.51.28.128</t>
  </si>
  <si>
    <t>10.51.28.129</t>
  </si>
  <si>
    <t>10.51.28.130</t>
  </si>
  <si>
    <t>10.51.20.21</t>
  </si>
  <si>
    <t>10.51.31.151</t>
  </si>
  <si>
    <t>10.51.21.21</t>
  </si>
  <si>
    <t>10.51.21.22</t>
  </si>
  <si>
    <t>10.51.31.3</t>
  </si>
  <si>
    <t>10.51.31.4</t>
  </si>
  <si>
    <t>10.51.17.146</t>
  </si>
  <si>
    <t>10.51.99.11</t>
  </si>
  <si>
    <t>BizTAlk</t>
  </si>
  <si>
    <t>MARINA-GRECHIN2</t>
  </si>
  <si>
    <t>MINA-BRANDWEIN</t>
  </si>
  <si>
    <t>MOTY-VEXELMAN</t>
  </si>
  <si>
    <t>NOAM-VOROBYOV</t>
  </si>
  <si>
    <t>SHAMAI-YUSUFOV2</t>
  </si>
  <si>
    <t>10.55.10.110</t>
  </si>
  <si>
    <t>10.55.10.151</t>
  </si>
  <si>
    <t>10.55.10.34</t>
  </si>
  <si>
    <t>10.55.11.13</t>
  </si>
  <si>
    <t>10.55.11.51</t>
  </si>
  <si>
    <t>DAFNA-BARAK</t>
  </si>
  <si>
    <t>DAFNA-SCHWARZ</t>
  </si>
  <si>
    <t>10.55.12.129</t>
  </si>
  <si>
    <t>10.55.10.131</t>
  </si>
  <si>
    <t>BAMADEVWS125</t>
  </si>
  <si>
    <t>BAMADEVWS175</t>
  </si>
  <si>
    <t>BAMADEVWS186</t>
  </si>
  <si>
    <t>BAMARCWS216</t>
  </si>
  <si>
    <t>10.55.10.127</t>
  </si>
  <si>
    <t>10.55.11.134</t>
  </si>
  <si>
    <t>10.55.10.176</t>
  </si>
  <si>
    <t>10.55.11.241</t>
  </si>
  <si>
    <t>BAMADEVWS135</t>
  </si>
  <si>
    <t>BAMAFDWS213</t>
  </si>
  <si>
    <t>RNN-CLIENT-10</t>
  </si>
  <si>
    <t>10.55.11.91</t>
  </si>
  <si>
    <t>10.55.11.75</t>
  </si>
  <si>
    <t>10.55.11.169</t>
  </si>
  <si>
    <t>#</t>
  </si>
  <si>
    <t>Prod On-prem</t>
  </si>
  <si>
    <t>PP AWS</t>
  </si>
  <si>
    <t>Prod AWS</t>
  </si>
  <si>
    <r>
      <t>7.77.</t>
    </r>
    <r>
      <rPr>
        <sz val="11"/>
        <color rgb="FF000000"/>
        <rFont val="Times New Roman"/>
        <family val="1"/>
      </rPr>
      <t>468</t>
    </r>
    <r>
      <rPr>
        <sz val="11"/>
        <color rgb="FF000000"/>
        <rFont val="Aptos Narrow"/>
        <family val="2"/>
      </rPr>
      <t>.12</t>
    </r>
    <r>
      <rPr>
        <sz val="11"/>
        <color rgb="FF000000"/>
        <rFont val="Times New Roman"/>
        <family val="1"/>
      </rPr>
      <t>702</t>
    </r>
  </si>
  <si>
    <t>7.77.468.12702</t>
  </si>
  <si>
    <t>httpudplog</t>
  </si>
  <si>
    <t>7.77.456.12104</t>
  </si>
  <si>
    <t>pdfutility</t>
  </si>
  <si>
    <r>
      <t>7.81.0.11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Aptos Narrow"/>
        <family val="2"/>
      </rPr>
      <t>01</t>
    </r>
  </si>
  <si>
    <t>7.81.0.11701</t>
  </si>
  <si>
    <t>7.81.0.10301</t>
  </si>
  <si>
    <t>bpmlistener</t>
  </si>
  <si>
    <t>7.77.466.12602</t>
  </si>
  <si>
    <t>lawyersite</t>
  </si>
  <si>
    <r>
      <t>7.81.0.12</t>
    </r>
    <r>
      <rPr>
        <sz val="11"/>
        <color rgb="FF000000"/>
        <rFont val="Times New Roman"/>
        <family val="1"/>
      </rPr>
      <t>8</t>
    </r>
    <r>
      <rPr>
        <sz val="11"/>
        <color rgb="FF000000"/>
        <rFont val="Aptos Narrow"/>
        <family val="2"/>
      </rPr>
      <t>0</t>
    </r>
    <r>
      <rPr>
        <sz val="11"/>
        <color rgb="FF000000"/>
        <rFont val="Times New Roman"/>
        <family val="1"/>
      </rPr>
      <t>1</t>
    </r>
  </si>
  <si>
    <t>7.81.0.12801</t>
  </si>
  <si>
    <t>1.0.8-g</t>
  </si>
  <si>
    <t xml:space="preserve">K2BO - Module </t>
  </si>
  <si>
    <t>EDC,IDC_OPS,INFR</t>
  </si>
  <si>
    <t>On-Prem</t>
  </si>
  <si>
    <t>APPLOG - OpenSearch</t>
  </si>
  <si>
    <t>172.31.4.57</t>
  </si>
  <si>
    <t>K2B0(BlackPerl),תהליכים,משימות</t>
  </si>
  <si>
    <t>ShotName</t>
  </si>
  <si>
    <t>EndPoint</t>
  </si>
  <si>
    <t>Role</t>
  </si>
  <si>
    <t>VPC/Dom</t>
  </si>
  <si>
    <t>Version</t>
  </si>
  <si>
    <t>InstanceType</t>
  </si>
  <si>
    <t>InstanceParam</t>
  </si>
  <si>
    <t>SrorageType</t>
  </si>
  <si>
    <t>Licience</t>
  </si>
  <si>
    <t>MultiAZ</t>
  </si>
  <si>
    <t>pprd-sbo</t>
  </si>
  <si>
    <t>13.00.6445.1.v1</t>
  </si>
  <si>
    <t>Enterprise</t>
  </si>
  <si>
    <t>16.00.4085.2.v1</t>
  </si>
  <si>
    <t>Standard</t>
  </si>
  <si>
    <t>16.00.4165.4.v1</t>
  </si>
  <si>
    <t>pprd-sbo.clgwaoeiqe0b.il-central-1.rds.amazonaws.com</t>
  </si>
  <si>
    <t>db.m5.2xlarge</t>
  </si>
  <si>
    <t>db.m5.xlarge</t>
  </si>
  <si>
    <t>db.m6i.xlarge</t>
  </si>
  <si>
    <t>8v/32G N4750</t>
  </si>
  <si>
    <t>4v/16G</t>
  </si>
  <si>
    <t>100.83.1.90</t>
  </si>
  <si>
    <t>2-IDC</t>
  </si>
  <si>
    <t>1-EDC</t>
  </si>
  <si>
    <t>4 v/16G MO</t>
  </si>
  <si>
    <t xml:space="preserve">STAGING </t>
  </si>
  <si>
    <t>https://digital-lz-il.awsapps.com/start/#/console?account_id=058264307677&amp;role_name=MPS-RDSFullAccess</t>
  </si>
  <si>
    <t>VPC1 - EDC - vpc-0f215ef0fafbea0b3</t>
  </si>
  <si>
    <t xml:space="preserve">VPC2 - IDC - </t>
  </si>
  <si>
    <t>VPC1 - EDC -</t>
  </si>
  <si>
    <t>https://digital-lz-il.awsapps.com/start/#/console?account_id=767397990042&amp;role_name=MPS-RDSFullAccess</t>
  </si>
  <si>
    <t>https://digital-lz-il.awsapps.com/start/#/console?account_id=905418287126&amp;role_name=MPS-RDSFullAccess</t>
  </si>
  <si>
    <t>prd-sasa-multisource-01</t>
  </si>
  <si>
    <t>VPC2 - IDC - vpc-08dbb82f16e187d5a</t>
  </si>
  <si>
    <t>IDC_OPS, LaborCourt?</t>
  </si>
  <si>
    <t>SBO Licience</t>
  </si>
  <si>
    <t>Hebrew_CI_AS</t>
  </si>
  <si>
    <t>EC2AMAZ-ADLL7RV</t>
  </si>
  <si>
    <t>100.92.125.14</t>
  </si>
  <si>
    <t>100.92.118.246</t>
  </si>
  <si>
    <t>100.92.67.221</t>
  </si>
  <si>
    <t>genservices-prod-genservices-86658b47d7-28cs9</t>
  </si>
  <si>
    <t>authorization-prod-auth-fd475d666-d8b7x</t>
  </si>
  <si>
    <t>authorization-prod-auth-fd475d666-q862p</t>
  </si>
  <si>
    <t>authorization-prod-auth-fd475d666-xwjpz</t>
  </si>
  <si>
    <t xml:space="preserve">                               </t>
  </si>
  <si>
    <t>10.55.11.83</t>
  </si>
  <si>
    <t>BAMADEVWS37</t>
  </si>
  <si>
    <t>configuration-prod-conf-756c645458-42vjj</t>
  </si>
  <si>
    <t>configuration-prod-conf-756c645458-sl5pt</t>
  </si>
  <si>
    <t>10.51.21.2</t>
  </si>
  <si>
    <t>CTLBRIDGE02</t>
  </si>
  <si>
    <t>10.51.21.3</t>
  </si>
  <si>
    <t>CTLBRIDGE03</t>
  </si>
  <si>
    <t>10.51.21.5</t>
  </si>
  <si>
    <t>CTLBRIDGE05</t>
  </si>
  <si>
    <t>CTLDEVTS01</t>
  </si>
  <si>
    <t>10.51.30.11</t>
  </si>
  <si>
    <t>CTLK2BO01</t>
  </si>
  <si>
    <t>10.51.30.12</t>
  </si>
  <si>
    <t>CTLK2BO02</t>
  </si>
  <si>
    <t>10.51.30.13</t>
  </si>
  <si>
    <t>CTLK2BO03</t>
  </si>
  <si>
    <t>10.51.28.135</t>
  </si>
  <si>
    <t>CTLLCQL01</t>
  </si>
  <si>
    <t>10.51.28.136</t>
  </si>
  <si>
    <t>CTLLCQL02</t>
  </si>
  <si>
    <t>10.51.17.36</t>
  </si>
  <si>
    <t>CTLWEBAPP01</t>
  </si>
  <si>
    <t>10.51.17.37</t>
  </si>
  <si>
    <t>CTLWEBAPP02</t>
  </si>
  <si>
    <t>genservices-prod-genservices-86658b47d7-5rr4x</t>
  </si>
  <si>
    <t>genservices-prod-genservices-86658b47d7-btq6v</t>
  </si>
  <si>
    <t>logpublish-prod-logpublish-5b845fc446-svxtf</t>
  </si>
  <si>
    <t>systemtables-prod-systbl-58cd45845-d2ddx</t>
  </si>
  <si>
    <t>100.83.13.108</t>
  </si>
  <si>
    <t>Ingress_PP_Controler</t>
  </si>
  <si>
    <t>Grafana-Prometheus</t>
  </si>
  <si>
    <t>CTLSEC01</t>
  </si>
  <si>
    <t>10.51.10.20</t>
  </si>
  <si>
    <t>CTLTASK01</t>
  </si>
  <si>
    <t>CTLCDC02</t>
  </si>
  <si>
    <t>10.51.16.17</t>
  </si>
  <si>
    <t>CTLCDC07</t>
  </si>
  <si>
    <t>10.51.16.9</t>
  </si>
  <si>
    <t>CTLCDC04</t>
  </si>
  <si>
    <t>TCP 636</t>
  </si>
  <si>
    <t>IDC_xpolog</t>
  </si>
  <si>
    <t>172.25.16.3</t>
  </si>
  <si>
    <t>IDC CDC</t>
  </si>
  <si>
    <t>TCP 636,88 UDP 389</t>
  </si>
  <si>
    <t>IDCELYONSPWEB01</t>
  </si>
  <si>
    <t>172.25.40.120</t>
  </si>
  <si>
    <t>Elyon Web</t>
  </si>
  <si>
    <t>172.25.10.41</t>
  </si>
  <si>
    <t>IDC_Security_SYSLOG</t>
  </si>
  <si>
    <t>172.25.10.92</t>
  </si>
  <si>
    <t>SCOM_new_92</t>
  </si>
  <si>
    <t>UDP 389 TCP 389</t>
  </si>
  <si>
    <t>UDP 389 TCP 49687(31792-65523)</t>
  </si>
  <si>
    <t>172.25.36.23</t>
  </si>
  <si>
    <t>170.25.40.32</t>
  </si>
  <si>
    <t>TCP 445</t>
  </si>
  <si>
    <t>172.25.35.103</t>
  </si>
  <si>
    <t>IDCWCG03</t>
  </si>
  <si>
    <t>172.25.35.102</t>
  </si>
  <si>
    <t>IDCWCG02</t>
  </si>
  <si>
    <t>DC</t>
  </si>
  <si>
    <t>172.25.16.2</t>
  </si>
  <si>
    <t>172.25.16.4</t>
  </si>
  <si>
    <t>109.15  88.28</t>
  </si>
  <si>
    <t>?:?????????</t>
  </si>
  <si>
    <t>???</t>
  </si>
  <si>
    <t>CTLSTREAM01</t>
  </si>
  <si>
    <t>10.51.17.145</t>
  </si>
  <si>
    <t>100.92.*</t>
  </si>
  <si>
    <t>100.83.*</t>
  </si>
  <si>
    <t>authorization-prod-auth-fd475d666-(*)</t>
  </si>
  <si>
    <t>authorization-prod-onprem-auth-b646fbc5f-(*)</t>
  </si>
  <si>
    <t>systemtables-prod-cloud-systbl-6c98979d67-(*)</t>
  </si>
  <si>
    <t>systemtables-prod-onprem-systbl-6b788f8568-(*)</t>
  </si>
  <si>
    <t>configuration-prod-cloud-configuration-85d5c988c5-(*)</t>
  </si>
  <si>
    <t>logpublish-prod-cloud-logpublish-f4b5699c6-(*)</t>
  </si>
  <si>
    <t>logpublish-prod-onprem-logpublish-555f4cc54c-(*)</t>
  </si>
  <si>
    <t>genservices-prod-genservices-86658b47d7-(*)</t>
  </si>
  <si>
    <t>docmanagement-pp-docmng-f5dcbf464-(*)</t>
  </si>
  <si>
    <t>genservices-pp-genservices-85ff667ff4-(*)</t>
  </si>
  <si>
    <t>logpublish-pp-onprem-logpublish-f8dcbc977-(*)</t>
  </si>
  <si>
    <t>logpublish-pp-logpublish-7dc5bdbb75-(*)</t>
  </si>
  <si>
    <t>configuration-pp-conf-64dfccbc-(*)</t>
  </si>
  <si>
    <t>systemtables-pp-onprem-systbl-54b79dc9f-(*)</t>
  </si>
  <si>
    <t>authorization-pp-onprem-auth-9b44b7f76-(*)</t>
  </si>
  <si>
    <t>authorization-pp-aws-auth-6d78cb5484-(*)</t>
  </si>
  <si>
    <t>lawyersite-prod-onprem-lawyersite</t>
  </si>
  <si>
    <t>bpmlistener-pp-onprem-bpmlistener</t>
  </si>
  <si>
    <t>y</t>
  </si>
  <si>
    <t>IX_CaseLegalEntity_ChangeDate_CaseID_Boaz</t>
  </si>
  <si>
    <t>dt_CaseLegalEntity</t>
  </si>
  <si>
    <t>CaseLegalEntityID, 
IsPublicationProhibited, 
PrivilegeID, 
ChangeUserID, 
LegalEntityNameID, 
LegalEntityRegisteredNameID</t>
  </si>
  <si>
    <t>ChangeDate, 
CaseID, 
LegalEntityID</t>
  </si>
  <si>
    <t>transcription-pp-transcription-7ffdb49f97-(*)</t>
  </si>
  <si>
    <t>translation-pp-translation-5465cdcf96-(*)</t>
  </si>
  <si>
    <t>pprd-bama-ro01</t>
  </si>
  <si>
    <t>db.m6i.xlarge (4 vCPU, 16GB RAM)</t>
  </si>
  <si>
    <t>SBO (Private, VPC_1)</t>
  </si>
  <si>
    <r>
      <rPr>
        <b/>
        <sz val="11"/>
        <color theme="0" tint="-0.249977111117893"/>
        <rFont val="Arial"/>
        <family val="2"/>
      </rPr>
      <t>SQL Server 2022</t>
    </r>
    <r>
      <rPr>
        <sz val="11"/>
        <color theme="0" tint="-0.249977111117893"/>
        <rFont val="Arial"/>
        <family val="2"/>
      </rPr>
      <t xml:space="preserve"> 16.00.4165.4.v1</t>
    </r>
  </si>
  <si>
    <t>2-IDC(EDC)</t>
  </si>
  <si>
    <t>Read Only Replica</t>
  </si>
  <si>
    <t>web-edc-subnet-group</t>
  </si>
  <si>
    <t>subnet-ngcs</t>
  </si>
  <si>
    <t>protocol-pp-protocol-7c5fc67cd5-(*)</t>
  </si>
  <si>
    <t>rating-pp-rating-7d6544c94-(*)</t>
  </si>
  <si>
    <t>lawyersite-pp-onprem-lawyersite-544bc76696-(*)</t>
  </si>
  <si>
    <t xml:space="preserve">weblegalentity-pp-onprem-legal-59b8cd4dd6-(*)  </t>
  </si>
  <si>
    <t>bpmlistener-pp-aws-bpmlistener-fb7976869-(*)</t>
  </si>
  <si>
    <t>weblegalentity-prod-onprem-legal-5d4d86f8d7-(*)</t>
  </si>
  <si>
    <t>systemtables-pp-systemtables-78d5c98c7-(*)</t>
  </si>
  <si>
    <t>100.83.11.54</t>
  </si>
  <si>
    <t>pprd-bama-ro01.clgwaoeiqe0b.il-central-1.rds.amazonaws.com</t>
  </si>
  <si>
    <t>2-EDC</t>
  </si>
  <si>
    <t>7.77.518.12501</t>
  </si>
  <si>
    <t>efile-pp-efile-fc95f46fd-(*)</t>
  </si>
  <si>
    <t>exhibit-pp-exhibit-565b6f9fc5-(*)</t>
  </si>
  <si>
    <t>procconsentity-pp-procconsentity-6d58b9fd76-(*)</t>
  </si>
  <si>
    <t>efile-prod-efile-5bd666bb4b-(*)</t>
  </si>
  <si>
    <t>rating-prod-rating-5f96ddff55-(*)</t>
  </si>
  <si>
    <t>translation-prod-translation-5b5bcb87d9-(*)</t>
  </si>
  <si>
    <t>rt_AutoCensorVersionStatus</t>
  </si>
  <si>
    <t>05.10.2025</t>
  </si>
  <si>
    <t>192.168.11.60\EDCSTGSQLBP01</t>
  </si>
  <si>
    <t>mumhim   Labor+Ops (Private,VPC_2)</t>
  </si>
  <si>
    <r>
      <rPr>
        <b/>
        <sz val="11"/>
        <color theme="9" tint="-0.249977111117893"/>
        <rFont val="Arial"/>
        <family val="2"/>
      </rPr>
      <t xml:space="preserve">SQL Server 2022 </t>
    </r>
    <r>
      <rPr>
        <sz val="11"/>
        <color rgb="FF16191F"/>
        <rFont val="Arial"/>
        <family val="2"/>
      </rPr>
      <t>16.00.4165.4.v1</t>
    </r>
  </si>
  <si>
    <t>No - TRUE (untill 12/11)</t>
  </si>
  <si>
    <t>prd-bama01</t>
  </si>
  <si>
    <t>prd-mumhim01</t>
  </si>
  <si>
    <t>db.r6i.12xlarge (64v/512G N15000) ( 4xlarge)</t>
  </si>
  <si>
    <t>CHOOSE 19:30UTC 4hours</t>
  </si>
  <si>
    <t xml:space="preserve">16:00UTC </t>
  </si>
  <si>
    <t>prd-bama01.cxosweay8ske.il-central-1.rds.amazonaws.com</t>
  </si>
  <si>
    <t>100.92.5.55</t>
  </si>
  <si>
    <t>16v/128G N</t>
  </si>
  <si>
    <t>VPC1 - EDC - aws-prod-privateprod-vpc-EDC-Netcourt (vpc-05d4a0ccf16f06652)</t>
  </si>
  <si>
    <t xml:space="preserve">21:30UTC </t>
  </si>
  <si>
    <t>100.92.12.184</t>
  </si>
  <si>
    <t>prd-mumhim01.cxosweay8ske.il-central-1.rds.amazonaws.com</t>
  </si>
  <si>
    <t>1-EDC (sub 2)</t>
  </si>
  <si>
    <t>1-EDC( sub 1)</t>
  </si>
  <si>
    <t>DISTINATION</t>
  </si>
  <si>
    <t>SOURCE</t>
  </si>
  <si>
    <t>PORTS</t>
  </si>
  <si>
    <t>10.51.16.*</t>
  </si>
  <si>
    <t>CTLCDC</t>
  </si>
  <si>
    <t>10.51.17.*</t>
  </si>
  <si>
    <t>CTLWEBAPP 01,02; CTLSTREAM 01,02; CTLAPPL 01-15, CTLAPPLN 01-06</t>
  </si>
  <si>
    <t>10.51.21.*</t>
  </si>
  <si>
    <t>CTLBRIDGE 02,03,05;  CTLRIGHTFAX 01,02; CTLBIZT01</t>
  </si>
  <si>
    <t>10.51.28.*</t>
  </si>
  <si>
    <t xml:space="preserve">CTLLCQL 01,02; CTLLCAPP 06-10; </t>
  </si>
  <si>
    <t>10.51.30.*</t>
  </si>
  <si>
    <t xml:space="preserve">CTLK2BO 01,02,03;  CTLBPK2 01,02,03; </t>
  </si>
  <si>
    <t>10.51.31.*</t>
  </si>
  <si>
    <t xml:space="preserve">CTLSBO  01,02;  CTLREP01; </t>
  </si>
  <si>
    <t>ONPREM_MicroServices_Kubernetis</t>
  </si>
  <si>
    <t>10.51.99.*</t>
  </si>
  <si>
    <t>14-Terminal DEV, 11-CTLSEC01, CTL TERMINALS</t>
  </si>
  <si>
    <t>10.53.10.*</t>
  </si>
  <si>
    <t>CTLJERRDSH….....</t>
  </si>
  <si>
    <t>10.55.10.*</t>
  </si>
  <si>
    <t>79-LABORCOURTWS01</t>
  </si>
  <si>
    <t>10.55.11.*</t>
  </si>
  <si>
    <t>BAMADEV - פיתוח</t>
  </si>
  <si>
    <t>172.25.10.*</t>
  </si>
  <si>
    <t>IDC_xpolog; IDC_Security_SYSLOG; SCOM_new_92</t>
  </si>
  <si>
    <t>172.25.16.*</t>
  </si>
  <si>
    <t>172.25.32.*</t>
  </si>
  <si>
    <t>IDCMOBINT01; IDCMOBILEFE 01,02; IDCWEBPUB 03,04</t>
  </si>
  <si>
    <t>172.25.36.*</t>
  </si>
  <si>
    <t>IDCBEAPP 01-05, IDCMOBILEBE 01,02;  IDCWEBLBR 01,02; IDCWEBSEC 04-07; IDCWEBSOFT 01,02</t>
  </si>
  <si>
    <t>172.25.40.*</t>
  </si>
  <si>
    <t>IDCELYONAPP01; IDCELYONSPWEB01</t>
  </si>
  <si>
    <t>AWS_MicroServices_Kubernetis</t>
  </si>
  <si>
    <t>גישה ל AD</t>
  </si>
  <si>
    <t>IDC BAMA ONPREM</t>
  </si>
  <si>
    <t>Preprod OP - Tali</t>
  </si>
  <si>
    <t>10.51.98.212</t>
  </si>
  <si>
    <t>WS - yael</t>
  </si>
  <si>
    <t>גישה לDB</t>
  </si>
  <si>
    <t>TCP 1433</t>
  </si>
  <si>
    <t>EC2AMAZ-N7TDVLL</t>
  </si>
  <si>
    <t>PROD BAMA</t>
  </si>
  <si>
    <t>Prod Mumhim</t>
  </si>
  <si>
    <t xml:space="preserve">UDP 53, 137,389 TCP 135,1433 </t>
  </si>
  <si>
    <t>10.53.80.184</t>
  </si>
  <si>
    <t>10.92.156.32</t>
  </si>
  <si>
    <t>445,40000-40010,30000-30010</t>
  </si>
  <si>
    <t>EC2 SBO SAP</t>
  </si>
  <si>
    <t>RDP 3389</t>
  </si>
  <si>
    <t>Terminal SAP to DB</t>
  </si>
  <si>
    <t>to Terminal SAP</t>
  </si>
  <si>
    <t>EC2AMAZ-4RN6FT1</t>
  </si>
  <si>
    <t>100.92.12.172</t>
  </si>
  <si>
    <t>10.51.15.100</t>
  </si>
  <si>
    <t>100.92.5.*</t>
  </si>
  <si>
    <t>100.92.12.*</t>
  </si>
  <si>
    <t>RDS EDC to SMTP</t>
  </si>
  <si>
    <t>RDS IDC to SMTP</t>
  </si>
  <si>
    <t>EC2AMAZ-F5LUPTL</t>
  </si>
  <si>
    <t>PROD BAMA MAZ SECONDARY</t>
  </si>
  <si>
    <t>SECONDARY - prd-bama01</t>
  </si>
  <si>
    <t>prd-ro-bama01</t>
  </si>
  <si>
    <t>prd-ro-bama01.cxosweay8ske.il-central-1.rds.amazonaws.com</t>
  </si>
  <si>
    <t>7.77.576.12901</t>
  </si>
  <si>
    <t>bpmlistener (k2 listener)</t>
  </si>
  <si>
    <t>700 Gib</t>
  </si>
  <si>
    <t xml:space="preserve">20:30UTC </t>
  </si>
  <si>
    <t>SECONDARY - prd-mumhim01</t>
  </si>
  <si>
    <t>db.m6i.2xlarge</t>
  </si>
  <si>
    <t>db.r6i.16xlarge</t>
  </si>
  <si>
    <t>64v/512G N</t>
  </si>
  <si>
    <t>3hours</t>
  </si>
  <si>
    <t>100.92.12.69</t>
  </si>
  <si>
    <t>source 100.92.11.*</t>
  </si>
  <si>
    <t>destination 100.92.11.*</t>
  </si>
  <si>
    <t>source 100.92.6.*</t>
  </si>
  <si>
    <t>destination 100.92.6.*</t>
  </si>
  <si>
    <t>UDP 53, 137 TCP 1433 +???</t>
  </si>
  <si>
    <t>להוסיף</t>
  </si>
  <si>
    <t xml:space="preserve">תוספת למצב קיים רק העמודה האחרונה שבאדום </t>
  </si>
  <si>
    <t>להוסיף תחנת התחברות</t>
  </si>
  <si>
    <t xml:space="preserve">להוסיף שירותי שוב </t>
  </si>
  <si>
    <t>RDS Read Only Replica+Mumhim</t>
  </si>
  <si>
    <t>100.92.11.0/24  100.92.12.0/24</t>
  </si>
  <si>
    <t>CTLOFEKSP01</t>
  </si>
  <si>
    <t>10.51.31.32</t>
  </si>
  <si>
    <t>CTLOFEKBI02</t>
  </si>
  <si>
    <t>10.51.31.30</t>
  </si>
  <si>
    <t>CTLOFEKREP01</t>
  </si>
  <si>
    <t>10.51.31.15</t>
  </si>
  <si>
    <t>Rapha</t>
  </si>
  <si>
    <t>לבצע</t>
  </si>
  <si>
    <t>שני כיוונים</t>
  </si>
  <si>
    <t>ALL</t>
  </si>
  <si>
    <t xml:space="preserve"> 172.25.40.151</t>
  </si>
  <si>
    <t>IDCSQLELYON01</t>
  </si>
  <si>
    <t>172.25.40.153</t>
  </si>
  <si>
    <t>IDCMOB          IDCWEBPUB</t>
  </si>
  <si>
    <t>IDCBEAPP*  IDCWEBSEC</t>
  </si>
  <si>
    <t>טיוב עתידי לסגירת פורטים</t>
  </si>
  <si>
    <t>הערות</t>
  </si>
  <si>
    <t>Open Ports</t>
  </si>
  <si>
    <t xml:space="preserve">Service Name </t>
  </si>
  <si>
    <t>Destination</t>
  </si>
  <si>
    <t xml:space="preserve">Source </t>
  </si>
  <si>
    <t>IDC Read Replica</t>
  </si>
  <si>
    <t xml:space="preserve">RDS SQL BAMA RDS READ Replica and Mumhim </t>
  </si>
  <si>
    <t>100.92.5.0/24 100.92.6.0/24 100.92.11.0/24 100.92.12.0/24</t>
  </si>
  <si>
    <t>Eli P WS</t>
  </si>
  <si>
    <t>Evgeny WS</t>
  </si>
  <si>
    <t>10.55.9.9</t>
  </si>
  <si>
    <t>שני הכיוונים</t>
  </si>
  <si>
    <t>100.92.5.0/24      100.92.6.0/24  100.92.11.0/24 100.92.12.0/24</t>
  </si>
  <si>
    <t>BAMA PP</t>
  </si>
  <si>
    <t>RDS SQL BAMA</t>
  </si>
  <si>
    <t>100.92.5.0/24 100.92.6.0/24</t>
  </si>
  <si>
    <t>PODS</t>
  </si>
  <si>
    <t>100.92.96.0/19</t>
  </si>
  <si>
    <t>100.92.64.0/19</t>
  </si>
  <si>
    <t>החוק אמור להיות קיים עבור 10.92.5</t>
  </si>
  <si>
    <t>VDI SBO TERMINAL</t>
  </si>
  <si>
    <t>10.53.80.184-185</t>
  </si>
  <si>
    <t>SQL SENTRY02</t>
  </si>
  <si>
    <t>10.51.10.122</t>
  </si>
  <si>
    <t>SQL RFAX</t>
  </si>
  <si>
    <t>SQL K2BO</t>
  </si>
  <si>
    <t>SQL K2</t>
  </si>
  <si>
    <t>SQL DOCUTEST</t>
  </si>
  <si>
    <t>SQL DOCU</t>
  </si>
  <si>
    <t>SQL ML</t>
  </si>
  <si>
    <t>Reports</t>
  </si>
  <si>
    <t>MOIN -מרשם אוכלוסין</t>
  </si>
  <si>
    <t>RightFax Servers</t>
  </si>
  <si>
    <t>10.51.21.21-22</t>
  </si>
  <si>
    <t>Biztalk Server</t>
  </si>
  <si>
    <t>SBO App</t>
  </si>
  <si>
    <t>10.51.31.3-4</t>
  </si>
  <si>
    <t>Task+Mgmt</t>
  </si>
  <si>
    <t>K2 App Servers</t>
  </si>
  <si>
    <t>App Servers</t>
  </si>
  <si>
    <t>Add to DNS</t>
  </si>
  <si>
    <t xml:space="preserve">רשת פנימית EDC </t>
  </si>
  <si>
    <t xml:space="preserve">מעבר במה וכספית לענן פתיחת פורטים </t>
  </si>
  <si>
    <t>EC2AMAZ-G12J518</t>
  </si>
  <si>
    <t>Create RDS</t>
  </si>
  <si>
    <t>till getting endpoint</t>
  </si>
  <si>
    <t>Join to Domain</t>
  </si>
  <si>
    <t>ws+apps</t>
  </si>
  <si>
    <t>Creating RO replica</t>
  </si>
  <si>
    <t>10 tb storage</t>
  </si>
  <si>
    <t>Multi AZ trans</t>
  </si>
  <si>
    <t>Permissions</t>
  </si>
  <si>
    <t>JOBS</t>
  </si>
  <si>
    <t>SQL 2016</t>
  </si>
  <si>
    <t>name</t>
  </si>
  <si>
    <t>collation_name</t>
  </si>
  <si>
    <t>comp_level</t>
  </si>
  <si>
    <t>SIZE,Mb</t>
  </si>
  <si>
    <t>BU size,Mb</t>
  </si>
  <si>
    <t>BU, min</t>
  </si>
  <si>
    <t>Copy to S3</t>
  </si>
  <si>
    <t>RES,min</t>
  </si>
  <si>
    <t>OnPrem</t>
  </si>
  <si>
    <t>\\10.51.11.38\T$\SQL_BACKUP\CUTOVER_EDC\MFREPORT_B4.bak</t>
  </si>
  <si>
    <t>arn:aws:s3:::aws-prd-private-s3-ilcentral1-dba/CUTOVER_19112025/</t>
  </si>
  <si>
    <t>\\10.51.11.38\T$\SQL_BACKUP\CUTOVER_EDC\mishpat_B4.bak</t>
  </si>
  <si>
    <t>\\10.51.11.38\T$\SQL_BACKUP\CUTOVER_EDC\NGCS_EDC_B4.bak</t>
  </si>
  <si>
    <t>\\10.51.11.38\T$\SQL_BACKUP\CUTOVER_EDC\NGCS_INFRASTRUCTURE_B4.bak</t>
  </si>
  <si>
    <t>\\10.51.11.38\T$\SQL_BACKUP\CUTOVER_EDC\SBO-COMMON_B4.bak</t>
  </si>
  <si>
    <t>ידני - S3</t>
  </si>
  <si>
    <t>\\172.25.20.15\Q$\SQLBACKUP\CUTOVER_IDC\LaborCourt_backup_B4.bak</t>
  </si>
  <si>
    <t>\\172.25.20.15\Q$\SQLBACKUP\CUTOVER_IDC\NGCS_IDC_OPS_B4.bak</t>
  </si>
  <si>
    <t>Profiler</t>
  </si>
  <si>
    <t>\\172.25.20.15\Q$\SQLBACKUP\CUTOVER_IDC\NGCS_INFRASTRUCTURE_IDC_B4.bak</t>
  </si>
  <si>
    <t>AdminData</t>
  </si>
  <si>
    <t>Archive_EDC</t>
  </si>
  <si>
    <t>LS???</t>
  </si>
  <si>
    <t>BackupTabls</t>
  </si>
  <si>
    <t>TOTAL to RDS</t>
  </si>
  <si>
    <t>\\10.51.11.38\T$\SQL_BACKUP\CUTOVER_EDC</t>
  </si>
  <si>
    <t>MUMHIM</t>
  </si>
  <si>
    <t>SQL 2022</t>
  </si>
  <si>
    <t>ידני</t>
  </si>
  <si>
    <t>BU size</t>
  </si>
  <si>
    <t>ProfilerTemp</t>
  </si>
  <si>
    <t>CTLSQLBP02</t>
  </si>
  <si>
    <t>10.51.11.78</t>
  </si>
  <si>
    <t>IDCPRBEAPP01</t>
  </si>
  <si>
    <t>IDCPRBOLBR01</t>
  </si>
  <si>
    <t>IDCPRBOLBR02</t>
  </si>
  <si>
    <t>IDCPRFEWEB01</t>
  </si>
  <si>
    <t>IDCPRGCAPGW01</t>
  </si>
  <si>
    <t>IDCPRGCAPGW02</t>
  </si>
  <si>
    <t>IDCPRMOBILEBE01</t>
  </si>
  <si>
    <t>IDCPRMOBILEBE02</t>
  </si>
  <si>
    <t>IDCPRMOBILEFE01</t>
  </si>
  <si>
    <t>IDCPRMOBILEFE02</t>
  </si>
  <si>
    <t>JER</t>
  </si>
  <si>
    <t>10.51.10.185</t>
  </si>
  <si>
    <t>IDCPRMOBINT01</t>
  </si>
  <si>
    <t>IDCPRMOBINT02</t>
  </si>
  <si>
    <t>IDCPRTFSCLNT01</t>
  </si>
  <si>
    <t>IDCPRWEBLBR01</t>
  </si>
  <si>
    <t>SQL NEW K2</t>
  </si>
  <si>
    <t xml:space="preserve">NEW SQL K2 </t>
  </si>
  <si>
    <t>100.92.7.128</t>
  </si>
  <si>
    <t>ED2 DBA MGMT</t>
  </si>
  <si>
    <t>10.55.10.50</t>
  </si>
  <si>
    <t>Arik sh DBA</t>
  </si>
  <si>
    <t>10.55.11.167</t>
  </si>
  <si>
    <t>DEV ARIK SERVER</t>
  </si>
  <si>
    <t>100.92.11.0/24  100.92.12.0/24</t>
  </si>
  <si>
    <t>זמני לחודש</t>
  </si>
  <si>
    <t>ELI SOVA WS</t>
  </si>
  <si>
    <t>172.25.38.*</t>
  </si>
  <si>
    <t>IDCBEAPP*  IDCWEBSEC*</t>
  </si>
  <si>
    <t>CTLBRG+</t>
  </si>
  <si>
    <t>10.51.27.*</t>
  </si>
  <si>
    <t>10.51.99.3-4</t>
  </si>
  <si>
    <t xml:space="preserve">1433  445 443 
3389
</t>
  </si>
  <si>
    <t>db.r6i.24xlarge</t>
  </si>
  <si>
    <t>96v/728G N</t>
  </si>
  <si>
    <t>gp4</t>
  </si>
  <si>
    <t>Ofek Report</t>
  </si>
  <si>
    <t>EC2AMAZ-VVQ0TSK</t>
  </si>
  <si>
    <t>100.92.11.158</t>
  </si>
  <si>
    <t>100.92.6.12</t>
  </si>
  <si>
    <t>100.92.5.</t>
  </si>
  <si>
    <t>100.92.12.</t>
  </si>
  <si>
    <t>EC2AMAZ-M0TJL3Q</t>
  </si>
  <si>
    <t>100.112.14.118</t>
  </si>
  <si>
    <t>LABORCOURTWS01</t>
  </si>
  <si>
    <t>IDCWEBLBR</t>
  </si>
  <si>
    <t>pprd-bama-ro-01</t>
  </si>
  <si>
    <t>10.51.17.65</t>
  </si>
  <si>
    <t>10.51.17.73</t>
  </si>
  <si>
    <t>10.51.17.75</t>
  </si>
  <si>
    <t>10.51.17.71</t>
  </si>
  <si>
    <t>100.83.2.155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</si>
</sst>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100">
    <font>
      <sz val="11"/>
      <color theme="1"/>
      <name val="Calibri"/>
      <family val="2"/>
      <scheme val="minor"/>
    </font>
    <font>
      <b/>
      <sz val="12"/>
      <color indexed="57"/>
      <name val="Calibri"/>
      <family val="2"/>
    </font>
    <font>
      <sz val="11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 Unicode MS"/>
    </font>
    <font>
      <b/>
      <sz val="10"/>
      <color indexed="8"/>
      <name val="Arial Unicode M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Roboto"/>
    </font>
    <font>
      <sz val="12"/>
      <color theme="1"/>
      <name val="Calibri"/>
      <family val="2"/>
      <scheme val="minor"/>
    </font>
    <font>
      <sz val="12"/>
      <color theme="1"/>
      <name val="Aptos"/>
    </font>
    <font>
      <sz val="12"/>
      <color rgb="FF000000"/>
      <name val="Roboto"/>
    </font>
    <font>
      <sz val="10"/>
      <color theme="1"/>
      <name val="Inherit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16191F"/>
      <name val="Arial"/>
      <family val="2"/>
    </font>
    <font>
      <b/>
      <sz val="14"/>
      <color rgb="FFC00000"/>
      <name val="Calibri"/>
      <family val="2"/>
      <scheme val="minor"/>
    </font>
    <font>
      <b/>
      <u/>
      <sz val="14"/>
      <color theme="9"/>
      <name val="Calibri"/>
      <family val="2"/>
      <scheme val="minor"/>
    </font>
    <font>
      <sz val="11"/>
      <color rgb="FF1F497D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16191F"/>
      <name val="Arial"/>
      <family val="2"/>
    </font>
    <font>
      <sz val="11"/>
      <color theme="2"/>
      <name val="Arial"/>
      <family val="2"/>
    </font>
    <font>
      <sz val="11"/>
      <color theme="0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2" tint="-0.249977111117893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4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14999847407452621"/>
      <name val="Arial"/>
      <family val="2"/>
    </font>
    <font>
      <b/>
      <sz val="11"/>
      <color theme="9" tint="-0.249977111117893"/>
      <name val="Arial"/>
      <family val="2"/>
    </font>
    <font>
      <sz val="11"/>
      <color theme="0" tint="-0.249977111117893"/>
      <name val="Arial"/>
      <family val="2"/>
    </font>
    <font>
      <sz val="11"/>
      <color theme="1"/>
      <name val="Aptos"/>
      <family val="2"/>
    </font>
    <font>
      <b/>
      <u/>
      <sz val="14"/>
      <name val="Calibri"/>
      <family val="2"/>
      <scheme val="minor"/>
    </font>
    <font>
      <b/>
      <sz val="8"/>
      <color rgb="FF000000"/>
      <name val="Tahoma"/>
      <family val="2"/>
    </font>
    <font>
      <b/>
      <sz val="11"/>
      <color theme="4" tint="-0.249977111117893"/>
      <name val="Arial"/>
      <family val="2"/>
    </font>
    <font>
      <b/>
      <u/>
      <sz val="14"/>
      <color theme="0" tint="-0.1499984740745262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0" tint="-0.14999847407452621"/>
      <name val="Aptos"/>
      <family val="2"/>
    </font>
    <font>
      <b/>
      <sz val="11"/>
      <color theme="0" tint="-0.1499984740745262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color rgb="FF0F141A"/>
      <name val="Roboto"/>
    </font>
    <font>
      <b/>
      <sz val="14"/>
      <color rgb="FF0F141A"/>
      <name val="Roboto"/>
    </font>
    <font>
      <b/>
      <sz val="11"/>
      <color rgb="FF0F141A"/>
      <name val="Roboto"/>
    </font>
    <font>
      <sz val="11"/>
      <color rgb="FF00802F"/>
      <name val="Roboto"/>
    </font>
    <font>
      <sz val="11"/>
      <color theme="0" tint="-0.249977111117893"/>
      <name val="Aptos"/>
      <family val="2"/>
    </font>
    <font>
      <b/>
      <sz val="11"/>
      <color theme="0" tint="-0.249977111117893"/>
      <name val="Calibri"/>
      <family val="2"/>
      <scheme val="minor"/>
    </font>
    <font>
      <sz val="12"/>
      <name val="Calibri"/>
      <family val="2"/>
      <scheme val="minor"/>
    </font>
    <font>
      <sz val="11"/>
      <name val="Aptos"/>
      <family val="2"/>
    </font>
    <font>
      <b/>
      <sz val="10"/>
      <color rgb="FFFFFFFF"/>
      <name val="Tahoma"/>
      <family val="2"/>
    </font>
    <font>
      <sz val="10"/>
      <color rgb="FF000000"/>
      <name val="Tahoma"/>
      <family val="2"/>
    </font>
    <font>
      <sz val="11"/>
      <color rgb="FF000000"/>
      <name val="Aptos Narrow"/>
      <family val="2"/>
    </font>
    <font>
      <b/>
      <sz val="10"/>
      <color theme="1"/>
      <name val="Tahoma"/>
      <family val="2"/>
    </font>
    <font>
      <sz val="11"/>
      <color rgb="FF000000"/>
      <name val="Times New Roman"/>
      <family val="1"/>
    </font>
    <font>
      <b/>
      <sz val="11"/>
      <color rgb="FF000000"/>
      <name val="Aptos Narrow"/>
      <family val="2"/>
    </font>
    <font>
      <i/>
      <sz val="11"/>
      <color theme="0" tint="-0.249977111117893"/>
      <name val="Calibri"/>
      <family val="2"/>
      <scheme val="minor"/>
    </font>
    <font>
      <b/>
      <sz val="11"/>
      <color theme="0" tint="-0.249977111117893"/>
      <name val="Arial"/>
      <family val="2"/>
    </font>
    <font>
      <u/>
      <sz val="11"/>
      <color theme="0" tint="-0.249977111117893"/>
      <name val="Calibri"/>
      <family val="2"/>
      <scheme val="minor"/>
    </font>
    <font>
      <u/>
      <sz val="11"/>
      <color theme="0" tint="-0.1499984740745262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75717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2DA3B8"/>
        <bgColor indexed="64"/>
      </patternFill>
    </fill>
    <fill>
      <patternFill patternType="solid">
        <fgColor rgb="FF76CE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9" applyNumberFormat="0" applyAlignment="0" applyProtection="0"/>
    <xf numFmtId="0" fontId="11" fillId="28" borderId="20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21" applyNumberFormat="0" applyFill="0" applyAlignment="0" applyProtection="0"/>
    <xf numFmtId="0" fontId="15" fillId="0" borderId="22" applyNumberFormat="0" applyFill="0" applyAlignment="0" applyProtection="0"/>
    <xf numFmtId="0" fontId="16" fillId="0" borderId="23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30" borderId="19" applyNumberFormat="0" applyAlignment="0" applyProtection="0"/>
    <xf numFmtId="0" fontId="19" fillId="0" borderId="24" applyNumberFormat="0" applyFill="0" applyAlignment="0" applyProtection="0"/>
    <xf numFmtId="0" fontId="20" fillId="31" borderId="0" applyNumberFormat="0" applyBorder="0" applyAlignment="0" applyProtection="0"/>
    <xf numFmtId="0" fontId="7" fillId="0" borderId="0"/>
    <xf numFmtId="0" fontId="7" fillId="32" borderId="25" applyNumberFormat="0" applyFont="0" applyAlignment="0" applyProtection="0"/>
    <xf numFmtId="0" fontId="21" fillId="27" borderId="26" applyNumberFormat="0" applyAlignment="0" applyProtection="0"/>
    <xf numFmtId="0" fontId="22" fillId="0" borderId="0" applyNumberFormat="0" applyFill="0" applyBorder="0" applyAlignment="0" applyProtection="0"/>
    <xf numFmtId="0" fontId="23" fillId="0" borderId="27" applyNumberFormat="0" applyFill="0" applyAlignment="0" applyProtection="0"/>
    <xf numFmtId="0" fontId="24" fillId="0" borderId="0" applyNumberFormat="0" applyFill="0" applyBorder="0" applyAlignment="0" applyProtection="0"/>
  </cellStyleXfs>
  <cellXfs count="58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5" fillId="0" borderId="2" xfId="0" applyFont="1" applyBorder="1" applyAlignment="1">
      <alignment horizontal="center"/>
    </xf>
    <xf numFmtId="0" fontId="0" fillId="0" borderId="3" xfId="0" applyBorder="1"/>
    <xf numFmtId="0" fontId="0" fillId="33" borderId="1" xfId="0" applyFill="1" applyBorder="1"/>
    <xf numFmtId="49" fontId="0" fillId="0" borderId="0" xfId="0" applyNumberFormat="1" applyAlignment="1">
      <alignment horizontal="right"/>
    </xf>
    <xf numFmtId="0" fontId="23" fillId="0" borderId="0" xfId="0" applyFont="1" applyAlignment="1">
      <alignment horizontal="center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3" borderId="4" xfId="0" applyFill="1" applyBorder="1"/>
    <xf numFmtId="0" fontId="26" fillId="0" borderId="0" xfId="0" applyFont="1"/>
    <xf numFmtId="0" fontId="27" fillId="0" borderId="0" xfId="0" applyFont="1"/>
    <xf numFmtId="0" fontId="0" fillId="34" borderId="1" xfId="0" applyFill="1" applyBorder="1"/>
    <xf numFmtId="0" fontId="0" fillId="0" borderId="0" xfId="0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/>
    <xf numFmtId="0" fontId="0" fillId="37" borderId="0" xfId="0" applyFill="1" applyAlignment="1">
      <alignment horizontal="right"/>
    </xf>
    <xf numFmtId="0" fontId="0" fillId="0" borderId="0" xfId="0" applyAlignment="1">
      <alignment horizontal="left"/>
    </xf>
    <xf numFmtId="0" fontId="17" fillId="0" borderId="0" xfId="34"/>
    <xf numFmtId="0" fontId="25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38" borderId="1" xfId="0" applyFill="1" applyBorder="1"/>
    <xf numFmtId="0" fontId="0" fillId="38" borderId="2" xfId="0" applyFill="1" applyBorder="1"/>
    <xf numFmtId="49" fontId="0" fillId="38" borderId="0" xfId="0" applyNumberFormat="1" applyFill="1" applyAlignment="1">
      <alignment horizontal="right"/>
    </xf>
    <xf numFmtId="0" fontId="0" fillId="38" borderId="3" xfId="0" applyFill="1" applyBorder="1" applyAlignment="1">
      <alignment horizontal="center"/>
    </xf>
    <xf numFmtId="0" fontId="0" fillId="33" borderId="8" xfId="0" applyFill="1" applyBorder="1"/>
    <xf numFmtId="49" fontId="0" fillId="0" borderId="0" xfId="0" applyNumberFormat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38" borderId="0" xfId="0" applyNumberFormat="1" applyFill="1" applyAlignment="1">
      <alignment horizontal="right" vertical="center"/>
    </xf>
    <xf numFmtId="0" fontId="0" fillId="38" borderId="1" xfId="0" applyFill="1" applyBorder="1" applyAlignment="1">
      <alignment vertical="center"/>
    </xf>
    <xf numFmtId="0" fontId="0" fillId="38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8" fillId="33" borderId="9" xfId="0" applyFont="1" applyFill="1" applyBorder="1" applyAlignment="1">
      <alignment horizontal="center" vertical="center"/>
    </xf>
    <xf numFmtId="0" fontId="28" fillId="33" borderId="10" xfId="0" applyFont="1" applyFill="1" applyBorder="1" applyAlignment="1">
      <alignment horizontal="center" vertical="center"/>
    </xf>
    <xf numFmtId="0" fontId="28" fillId="33" borderId="11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9" fillId="39" borderId="4" xfId="0" applyFont="1" applyFill="1" applyBorder="1" applyAlignment="1">
      <alignment horizontal="center" vertical="center"/>
    </xf>
    <xf numFmtId="0" fontId="29" fillId="39" borderId="12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horizontal="left" vertical="center" readingOrder="2"/>
    </xf>
    <xf numFmtId="0" fontId="0" fillId="0" borderId="1" xfId="0" applyBorder="1" applyAlignment="1">
      <alignment horizontal="left"/>
    </xf>
    <xf numFmtId="1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14" fontId="30" fillId="0" borderId="3" xfId="0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32" fillId="0" borderId="0" xfId="0" applyFont="1" applyAlignment="1">
      <alignment vertical="center"/>
    </xf>
    <xf numFmtId="0" fontId="33" fillId="0" borderId="0" xfId="0" applyFont="1"/>
    <xf numFmtId="0" fontId="34" fillId="0" borderId="0" xfId="0" applyFont="1" applyAlignment="1">
      <alignment horizontal="left" vertical="center" indent="5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 readingOrder="2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23" fillId="0" borderId="1" xfId="0" applyFont="1" applyBorder="1"/>
    <xf numFmtId="0" fontId="23" fillId="33" borderId="0" xfId="0" applyFont="1" applyFill="1"/>
    <xf numFmtId="0" fontId="0" fillId="40" borderId="0" xfId="0" applyFill="1"/>
    <xf numFmtId="0" fontId="0" fillId="41" borderId="0" xfId="0" applyFill="1"/>
    <xf numFmtId="0" fontId="36" fillId="41" borderId="0" xfId="0" applyFont="1" applyFill="1" applyAlignment="1">
      <alignment vertical="center" wrapText="1"/>
    </xf>
    <xf numFmtId="0" fontId="36" fillId="40" borderId="0" xfId="0" applyFont="1" applyFill="1" applyAlignment="1">
      <alignment vertical="center" wrapText="1"/>
    </xf>
    <xf numFmtId="0" fontId="23" fillId="38" borderId="1" xfId="0" applyFont="1" applyFill="1" applyBorder="1" applyAlignment="1">
      <alignment vertical="center"/>
    </xf>
    <xf numFmtId="0" fontId="23" fillId="38" borderId="1" xfId="0" applyFont="1" applyFill="1" applyBorder="1"/>
    <xf numFmtId="0" fontId="23" fillId="0" borderId="3" xfId="0" applyFont="1" applyBorder="1"/>
    <xf numFmtId="0" fontId="23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49" fontId="0" fillId="35" borderId="0" xfId="0" applyNumberFormat="1" applyFill="1" applyAlignment="1">
      <alignment horizontal="right"/>
    </xf>
    <xf numFmtId="0" fontId="0" fillId="0" borderId="1" xfId="0" quotePrefix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42" borderId="1" xfId="0" applyFill="1" applyBorder="1"/>
    <xf numFmtId="0" fontId="24" fillId="0" borderId="1" xfId="0" applyFont="1" applyBorder="1"/>
    <xf numFmtId="0" fontId="0" fillId="42" borderId="3" xfId="0" applyFill="1" applyBorder="1" applyAlignment="1">
      <alignment horizontal="center"/>
    </xf>
    <xf numFmtId="0" fontId="0" fillId="42" borderId="8" xfId="0" applyFill="1" applyBorder="1"/>
    <xf numFmtId="0" fontId="0" fillId="42" borderId="1" xfId="0" applyFill="1" applyBorder="1" applyAlignment="1">
      <alignment horizontal="center" vertical="center"/>
    </xf>
    <xf numFmtId="0" fontId="0" fillId="42" borderId="3" xfId="0" applyFill="1" applyBorder="1"/>
    <xf numFmtId="0" fontId="0" fillId="42" borderId="2" xfId="0" applyFill="1" applyBorder="1"/>
    <xf numFmtId="0" fontId="0" fillId="42" borderId="6" xfId="0" applyFill="1" applyBorder="1"/>
    <xf numFmtId="0" fontId="24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9" fillId="39" borderId="13" xfId="0" applyFont="1" applyFill="1" applyBorder="1" applyAlignment="1">
      <alignment horizontal="center" vertical="center"/>
    </xf>
    <xf numFmtId="0" fontId="38" fillId="0" borderId="1" xfId="0" applyFont="1" applyBorder="1"/>
    <xf numFmtId="1" fontId="0" fillId="0" borderId="0" xfId="0" applyNumberFormat="1"/>
    <xf numFmtId="21" fontId="0" fillId="0" borderId="7" xfId="0" applyNumberFormat="1" applyBorder="1"/>
    <xf numFmtId="21" fontId="0" fillId="0" borderId="8" xfId="0" applyNumberFormat="1" applyBorder="1"/>
    <xf numFmtId="1" fontId="0" fillId="0" borderId="1" xfId="0" applyNumberFormat="1" applyBorder="1"/>
    <xf numFmtId="1" fontId="0" fillId="0" borderId="3" xfId="0" applyNumberFormat="1" applyBorder="1"/>
    <xf numFmtId="0" fontId="0" fillId="0" borderId="1" xfId="0" applyBorder="1" applyAlignment="1">
      <alignment horizontal="right"/>
    </xf>
    <xf numFmtId="1" fontId="0" fillId="43" borderId="1" xfId="0" applyNumberFormat="1" applyFill="1" applyBorder="1"/>
    <xf numFmtId="14" fontId="0" fillId="33" borderId="1" xfId="0" applyNumberFormat="1" applyFill="1" applyBorder="1" applyAlignment="1">
      <alignment horizontal="center"/>
    </xf>
    <xf numFmtId="21" fontId="0" fillId="0" borderId="0" xfId="0" applyNumberFormat="1"/>
    <xf numFmtId="0" fontId="39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/>
    </xf>
    <xf numFmtId="0" fontId="24" fillId="0" borderId="0" xfId="0" applyFont="1"/>
    <xf numFmtId="0" fontId="0" fillId="33" borderId="1" xfId="0" applyFill="1" applyBorder="1" applyAlignment="1">
      <alignment horizontal="right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40" fillId="0" borderId="0" xfId="0" applyFont="1"/>
    <xf numFmtId="0" fontId="41" fillId="0" borderId="0" xfId="0" applyFont="1"/>
    <xf numFmtId="0" fontId="42" fillId="0" borderId="0" xfId="0" applyFont="1"/>
    <xf numFmtId="49" fontId="0" fillId="0" borderId="0" xfId="0" applyNumberFormat="1"/>
    <xf numFmtId="0" fontId="44" fillId="0" borderId="0" xfId="0" applyFont="1"/>
    <xf numFmtId="0" fontId="44" fillId="0" borderId="0" xfId="0" applyFont="1" applyAlignment="1">
      <alignment horizontal="right"/>
    </xf>
    <xf numFmtId="0" fontId="40" fillId="0" borderId="1" xfId="0" applyFont="1" applyBorder="1" applyAlignment="1">
      <alignment vertical="center" wrapText="1"/>
    </xf>
    <xf numFmtId="0" fontId="40" fillId="0" borderId="1" xfId="0" applyFont="1" applyBorder="1"/>
    <xf numFmtId="0" fontId="45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17" fillId="0" borderId="1" xfId="34" applyBorder="1"/>
    <xf numFmtId="0" fontId="0" fillId="0" borderId="1" xfId="0" applyBorder="1" applyAlignment="1">
      <alignment wrapText="1"/>
    </xf>
    <xf numFmtId="0" fontId="39" fillId="44" borderId="0" xfId="0" applyFont="1" applyFill="1"/>
    <xf numFmtId="1" fontId="2" fillId="0" borderId="0" xfId="0" applyNumberFormat="1" applyFont="1" applyAlignment="1">
      <alignment horizontal="left"/>
    </xf>
    <xf numFmtId="49" fontId="39" fillId="38" borderId="0" xfId="0" applyNumberFormat="1" applyFont="1" applyFill="1"/>
    <xf numFmtId="0" fontId="0" fillId="35" borderId="0" xfId="0" applyFill="1"/>
    <xf numFmtId="0" fontId="40" fillId="0" borderId="1" xfId="0" applyFont="1" applyBorder="1" applyAlignment="1">
      <alignment horizontal="left" vertical="center" wrapText="1"/>
    </xf>
    <xf numFmtId="0" fontId="40" fillId="35" borderId="1" xfId="0" applyFont="1" applyFill="1" applyBorder="1"/>
    <xf numFmtId="0" fontId="46" fillId="0" borderId="1" xfId="0" applyFont="1" applyBorder="1"/>
    <xf numFmtId="0" fontId="23" fillId="0" borderId="0" xfId="0" applyFont="1"/>
    <xf numFmtId="0" fontId="0" fillId="45" borderId="1" xfId="0" applyFill="1" applyBorder="1"/>
    <xf numFmtId="0" fontId="39" fillId="0" borderId="1" xfId="0" applyFont="1" applyBorder="1"/>
    <xf numFmtId="164" fontId="0" fillId="0" borderId="1" xfId="0" applyNumberFormat="1" applyBorder="1"/>
    <xf numFmtId="164" fontId="47" fillId="0" borderId="1" xfId="0" applyNumberFormat="1" applyFont="1" applyBorder="1"/>
    <xf numFmtId="164" fontId="0" fillId="38" borderId="1" xfId="0" applyNumberFormat="1" applyFill="1" applyBorder="1"/>
    <xf numFmtId="164" fontId="47" fillId="38" borderId="1" xfId="0" applyNumberFormat="1" applyFont="1" applyFill="1" applyBorder="1"/>
    <xf numFmtId="0" fontId="0" fillId="46" borderId="8" xfId="0" applyFill="1" applyBorder="1" applyAlignment="1">
      <alignment horizontal="right"/>
    </xf>
    <xf numFmtId="0" fontId="0" fillId="46" borderId="16" xfId="0" applyFill="1" applyBorder="1" applyAlignment="1">
      <alignment horizontal="right"/>
    </xf>
    <xf numFmtId="0" fontId="0" fillId="46" borderId="1" xfId="0" applyFill="1" applyBorder="1"/>
    <xf numFmtId="164" fontId="0" fillId="46" borderId="1" xfId="0" applyNumberFormat="1" applyFill="1" applyBorder="1"/>
    <xf numFmtId="164" fontId="47" fillId="46" borderId="1" xfId="0" applyNumberFormat="1" applyFont="1" applyFill="1" applyBorder="1"/>
    <xf numFmtId="0" fontId="0" fillId="0" borderId="0" xfId="0" applyAlignment="1">
      <alignment horizontal="right"/>
    </xf>
    <xf numFmtId="164" fontId="0" fillId="0" borderId="0" xfId="0" applyNumberFormat="1"/>
    <xf numFmtId="0" fontId="38" fillId="47" borderId="1" xfId="0" applyFont="1" applyFill="1" applyBorder="1" applyAlignment="1">
      <alignment horizontal="left"/>
    </xf>
    <xf numFmtId="0" fontId="38" fillId="47" borderId="1" xfId="0" applyFont="1" applyFill="1" applyBorder="1" applyAlignment="1">
      <alignment horizontal="center"/>
    </xf>
    <xf numFmtId="164" fontId="24" fillId="0" borderId="1" xfId="0" applyNumberFormat="1" applyFont="1" applyBorder="1" applyAlignment="1">
      <alignment horizontal="right"/>
    </xf>
    <xf numFmtId="164" fontId="39" fillId="0" borderId="1" xfId="0" applyNumberFormat="1" applyFont="1" applyBorder="1" applyAlignment="1">
      <alignment horizontal="right"/>
    </xf>
    <xf numFmtId="0" fontId="48" fillId="0" borderId="0" xfId="0" applyFont="1"/>
    <xf numFmtId="21" fontId="48" fillId="0" borderId="0" xfId="0" applyNumberFormat="1" applyFont="1"/>
    <xf numFmtId="46" fontId="49" fillId="0" borderId="0" xfId="0" applyNumberFormat="1" applyFont="1"/>
    <xf numFmtId="164" fontId="50" fillId="0" borderId="1" xfId="0" applyNumberFormat="1" applyFont="1" applyBorder="1" applyAlignment="1">
      <alignment horizontal="right"/>
    </xf>
    <xf numFmtId="165" fontId="0" fillId="38" borderId="1" xfId="0" applyNumberFormat="1" applyFill="1" applyBorder="1"/>
    <xf numFmtId="165" fontId="0" fillId="0" borderId="0" xfId="0" applyNumberFormat="1"/>
    <xf numFmtId="165" fontId="26" fillId="0" borderId="0" xfId="0" applyNumberFormat="1" applyFont="1"/>
    <xf numFmtId="0" fontId="0" fillId="0" borderId="0" xfId="0" applyAlignment="1">
      <alignment wrapText="1"/>
    </xf>
    <xf numFmtId="0" fontId="27" fillId="48" borderId="17" xfId="0" applyFont="1" applyFill="1" applyBorder="1" applyAlignment="1">
      <alignment horizontal="right"/>
    </xf>
    <xf numFmtId="0" fontId="0" fillId="48" borderId="13" xfId="0" applyFill="1" applyBorder="1"/>
    <xf numFmtId="21" fontId="27" fillId="48" borderId="13" xfId="0" applyNumberFormat="1" applyFont="1" applyFill="1" applyBorder="1"/>
    <xf numFmtId="21" fontId="0" fillId="48" borderId="12" xfId="0" applyNumberFormat="1" applyFill="1" applyBorder="1"/>
    <xf numFmtId="0" fontId="40" fillId="0" borderId="3" xfId="0" applyFont="1" applyBorder="1"/>
    <xf numFmtId="0" fontId="40" fillId="0" borderId="3" xfId="0" applyFont="1" applyBorder="1" applyAlignment="1">
      <alignment vertical="center" wrapText="1"/>
    </xf>
    <xf numFmtId="0" fontId="26" fillId="33" borderId="0" xfId="0" applyFont="1" applyFill="1"/>
    <xf numFmtId="0" fontId="0" fillId="0" borderId="16" xfId="0" applyBorder="1"/>
    <xf numFmtId="0" fontId="51" fillId="0" borderId="1" xfId="0" applyFont="1" applyBorder="1"/>
    <xf numFmtId="164" fontId="51" fillId="0" borderId="1" xfId="0" applyNumberFormat="1" applyFont="1" applyBorder="1"/>
    <xf numFmtId="165" fontId="51" fillId="0" borderId="1" xfId="0" applyNumberFormat="1" applyFont="1" applyBorder="1"/>
    <xf numFmtId="0" fontId="0" fillId="35" borderId="0" xfId="0" applyFill="1" applyAlignment="1">
      <alignment horizontal="center"/>
    </xf>
    <xf numFmtId="0" fontId="48" fillId="0" borderId="16" xfId="0" applyFont="1" applyBorder="1" applyAlignment="1">
      <alignment horizontal="center"/>
    </xf>
    <xf numFmtId="0" fontId="39" fillId="38" borderId="0" xfId="0" applyFont="1" applyFill="1" applyAlignment="1">
      <alignment horizontal="center"/>
    </xf>
    <xf numFmtId="21" fontId="0" fillId="48" borderId="0" xfId="0" applyNumberFormat="1" applyFill="1"/>
    <xf numFmtId="164" fontId="47" fillId="0" borderId="0" xfId="0" applyNumberFormat="1" applyFont="1"/>
    <xf numFmtId="0" fontId="26" fillId="33" borderId="1" xfId="0" applyFont="1" applyFill="1" applyBorder="1"/>
    <xf numFmtId="0" fontId="0" fillId="0" borderId="6" xfId="0" applyBorder="1"/>
    <xf numFmtId="0" fontId="0" fillId="0" borderId="2" xfId="0" applyBorder="1"/>
    <xf numFmtId="164" fontId="0" fillId="0" borderId="2" xfId="0" applyNumberFormat="1" applyBorder="1"/>
    <xf numFmtId="164" fontId="47" fillId="0" borderId="2" xfId="0" applyNumberFormat="1" applyFont="1" applyBorder="1"/>
    <xf numFmtId="0" fontId="39" fillId="0" borderId="2" xfId="0" applyFont="1" applyBorder="1"/>
    <xf numFmtId="0" fontId="0" fillId="45" borderId="3" xfId="0" applyFill="1" applyBorder="1"/>
    <xf numFmtId="164" fontId="0" fillId="38" borderId="3" xfId="0" applyNumberFormat="1" applyFill="1" applyBorder="1"/>
    <xf numFmtId="14" fontId="39" fillId="38" borderId="0" xfId="0" applyNumberFormat="1" applyFont="1" applyFill="1" applyAlignment="1">
      <alignment horizontal="center"/>
    </xf>
    <xf numFmtId="14" fontId="0" fillId="0" borderId="0" xfId="0" applyNumberFormat="1"/>
    <xf numFmtId="14" fontId="38" fillId="47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/>
    <xf numFmtId="14" fontId="0" fillId="46" borderId="1" xfId="0" applyNumberFormat="1" applyFill="1" applyBorder="1"/>
    <xf numFmtId="14" fontId="0" fillId="38" borderId="1" xfId="0" applyNumberFormat="1" applyFill="1" applyBorder="1"/>
    <xf numFmtId="14" fontId="0" fillId="35" borderId="0" xfId="0" applyNumberFormat="1" applyFill="1" applyAlignment="1">
      <alignment horizontal="center"/>
    </xf>
    <xf numFmtId="14" fontId="26" fillId="0" borderId="0" xfId="0" applyNumberFormat="1" applyFont="1"/>
    <xf numFmtId="14" fontId="48" fillId="0" borderId="0" xfId="0" applyNumberFormat="1" applyFont="1"/>
    <xf numFmtId="14" fontId="0" fillId="48" borderId="0" xfId="0" applyNumberFormat="1" applyFill="1"/>
    <xf numFmtId="164" fontId="0" fillId="38" borderId="7" xfId="0" applyNumberFormat="1" applyFill="1" applyBorder="1"/>
    <xf numFmtId="0" fontId="0" fillId="0" borderId="29" xfId="0" applyBorder="1"/>
    <xf numFmtId="14" fontId="0" fillId="46" borderId="3" xfId="0" applyNumberFormat="1" applyFill="1" applyBorder="1"/>
    <xf numFmtId="0" fontId="0" fillId="0" borderId="6" xfId="0" applyBorder="1" applyAlignment="1">
      <alignment horizontal="right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48" fillId="42" borderId="0" xfId="0" applyFont="1" applyFill="1"/>
    <xf numFmtId="0" fontId="0" fillId="0" borderId="0" xfId="0" applyAlignment="1">
      <alignment vertical="center"/>
    </xf>
    <xf numFmtId="49" fontId="8" fillId="35" borderId="0" xfId="0" applyNumberFormat="1" applyFont="1" applyFill="1" applyAlignment="1">
      <alignment horizontal="right" vertical="center"/>
    </xf>
    <xf numFmtId="0" fontId="8" fillId="35" borderId="0" xfId="0" applyFont="1" applyFill="1" applyAlignment="1">
      <alignment vertical="center"/>
    </xf>
    <xf numFmtId="0" fontId="39" fillId="35" borderId="0" xfId="0" applyFont="1" applyFill="1" applyAlignment="1">
      <alignment vertical="center"/>
    </xf>
    <xf numFmtId="0" fontId="0" fillId="35" borderId="1" xfId="0" applyFill="1" applyBorder="1"/>
    <xf numFmtId="0" fontId="50" fillId="35" borderId="1" xfId="0" applyFont="1" applyFill="1" applyBorder="1"/>
    <xf numFmtId="164" fontId="50" fillId="35" borderId="1" xfId="0" applyNumberFormat="1" applyFont="1" applyFill="1" applyBorder="1"/>
    <xf numFmtId="164" fontId="50" fillId="35" borderId="1" xfId="0" applyNumberFormat="1" applyFont="1" applyFill="1" applyBorder="1" applyAlignment="1">
      <alignment horizontal="right"/>
    </xf>
    <xf numFmtId="0" fontId="50" fillId="0" borderId="1" xfId="0" applyFont="1" applyBorder="1"/>
    <xf numFmtId="14" fontId="50" fillId="0" borderId="1" xfId="0" applyNumberFormat="1" applyFont="1" applyBorder="1"/>
    <xf numFmtId="0" fontId="50" fillId="0" borderId="0" xfId="0" applyFont="1"/>
    <xf numFmtId="0" fontId="50" fillId="35" borderId="0" xfId="0" applyFont="1" applyFill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43" xfId="0" applyBorder="1"/>
    <xf numFmtId="0" fontId="23" fillId="0" borderId="40" xfId="0" applyFont="1" applyBorder="1"/>
    <xf numFmtId="0" fontId="0" fillId="0" borderId="9" xfId="0" applyBorder="1"/>
    <xf numFmtId="0" fontId="0" fillId="0" borderId="10" xfId="0" applyBorder="1"/>
    <xf numFmtId="0" fontId="0" fillId="0" borderId="18" xfId="0" applyBorder="1"/>
    <xf numFmtId="0" fontId="0" fillId="0" borderId="11" xfId="0" applyBorder="1"/>
    <xf numFmtId="0" fontId="0" fillId="0" borderId="29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9" xfId="0" applyBorder="1" applyAlignment="1">
      <alignment horizontal="center"/>
    </xf>
    <xf numFmtId="165" fontId="0" fillId="0" borderId="9" xfId="0" applyNumberFormat="1" applyBorder="1"/>
    <xf numFmtId="165" fontId="0" fillId="0" borderId="42" xfId="0" applyNumberFormat="1" applyBorder="1"/>
    <xf numFmtId="165" fontId="0" fillId="0" borderId="33" xfId="0" applyNumberFormat="1" applyBorder="1"/>
    <xf numFmtId="165" fontId="0" fillId="0" borderId="35" xfId="0" applyNumberFormat="1" applyBorder="1"/>
    <xf numFmtId="0" fontId="57" fillId="35" borderId="0" xfId="0" applyFont="1" applyFill="1"/>
    <xf numFmtId="0" fontId="58" fillId="35" borderId="0" xfId="0" applyFont="1" applyFill="1"/>
    <xf numFmtId="0" fontId="59" fillId="35" borderId="0" xfId="0" applyFont="1" applyFill="1"/>
    <xf numFmtId="47" fontId="0" fillId="0" borderId="0" xfId="0" applyNumberFormat="1"/>
    <xf numFmtId="0" fontId="23" fillId="0" borderId="46" xfId="0" applyFont="1" applyBorder="1"/>
    <xf numFmtId="0" fontId="23" fillId="0" borderId="47" xfId="0" applyFont="1" applyBorder="1"/>
    <xf numFmtId="0" fontId="23" fillId="0" borderId="47" xfId="0" applyFont="1" applyBorder="1" applyAlignment="1">
      <alignment horizontal="center"/>
    </xf>
    <xf numFmtId="0" fontId="23" fillId="0" borderId="4" xfId="0" applyFont="1" applyBorder="1"/>
    <xf numFmtId="0" fontId="23" fillId="0" borderId="4" xfId="0" applyFont="1" applyBorder="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7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3" fillId="0" borderId="47" xfId="0" applyFont="1" applyBorder="1" applyAlignment="1">
      <alignment wrapText="1"/>
    </xf>
    <xf numFmtId="0" fontId="23" fillId="0" borderId="4" xfId="0" applyFont="1" applyBorder="1" applyAlignment="1">
      <alignment horizontal="center" wrapText="1"/>
    </xf>
    <xf numFmtId="0" fontId="23" fillId="0" borderId="4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44" borderId="0" xfId="0" applyFill="1"/>
    <xf numFmtId="0" fontId="0" fillId="44" borderId="0" xfId="0" applyFill="1" applyAlignment="1">
      <alignment horizontal="center"/>
    </xf>
    <xf numFmtId="0" fontId="0" fillId="44" borderId="0" xfId="0" applyFill="1" applyAlignment="1">
      <alignment wrapText="1"/>
    </xf>
    <xf numFmtId="0" fontId="0" fillId="44" borderId="0" xfId="0" applyFill="1" applyAlignment="1">
      <alignment vertical="center"/>
    </xf>
    <xf numFmtId="0" fontId="60" fillId="0" borderId="1" xfId="0" applyFont="1" applyBorder="1"/>
    <xf numFmtId="0" fontId="40" fillId="49" borderId="1" xfId="0" applyFont="1" applyFill="1" applyBorder="1" applyAlignment="1">
      <alignment vertical="center" wrapText="1"/>
    </xf>
    <xf numFmtId="0" fontId="23" fillId="0" borderId="40" xfId="0" applyFont="1" applyBorder="1" applyAlignment="1">
      <alignment vertical="center"/>
    </xf>
    <xf numFmtId="0" fontId="0" fillId="0" borderId="16" xfId="0" applyBorder="1" applyAlignment="1">
      <alignment horizontal="right" vertical="center"/>
    </xf>
    <xf numFmtId="165" fontId="0" fillId="0" borderId="33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6" fillId="0" borderId="1" xfId="0" applyFont="1" applyBorder="1"/>
    <xf numFmtId="0" fontId="43" fillId="0" borderId="1" xfId="0" applyFont="1" applyBorder="1"/>
    <xf numFmtId="0" fontId="25" fillId="0" borderId="9" xfId="0" applyFont="1" applyBorder="1"/>
    <xf numFmtId="0" fontId="25" fillId="0" borderId="11" xfId="0" applyFont="1" applyBorder="1"/>
    <xf numFmtId="0" fontId="63" fillId="0" borderId="0" xfId="0" applyFont="1"/>
    <xf numFmtId="0" fontId="24" fillId="0" borderId="3" xfId="0" applyFont="1" applyBorder="1" applyAlignment="1">
      <alignment horizontal="center"/>
    </xf>
    <xf numFmtId="0" fontId="24" fillId="0" borderId="8" xfId="0" applyFont="1" applyBorder="1"/>
    <xf numFmtId="0" fontId="24" fillId="0" borderId="1" xfId="0" applyFont="1" applyBorder="1" applyAlignment="1">
      <alignment horizontal="center" vertical="center"/>
    </xf>
    <xf numFmtId="0" fontId="24" fillId="35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right"/>
    </xf>
    <xf numFmtId="0" fontId="24" fillId="0" borderId="3" xfId="0" applyFont="1" applyBorder="1"/>
    <xf numFmtId="0" fontId="38" fillId="0" borderId="0" xfId="0" applyFont="1"/>
    <xf numFmtId="0" fontId="24" fillId="0" borderId="1" xfId="0" applyFont="1" applyBorder="1" applyAlignment="1">
      <alignment horizontal="center"/>
    </xf>
    <xf numFmtId="0" fontId="64" fillId="45" borderId="0" xfId="0" applyFont="1" applyFill="1"/>
    <xf numFmtId="0" fontId="38" fillId="45" borderId="0" xfId="0" applyFont="1" applyFill="1"/>
    <xf numFmtId="0" fontId="65" fillId="50" borderId="50" xfId="0" applyFont="1" applyFill="1" applyBorder="1" applyAlignment="1">
      <alignment horizontal="center" vertical="center" readingOrder="1"/>
    </xf>
    <xf numFmtId="49" fontId="65" fillId="51" borderId="50" xfId="0" applyNumberFormat="1" applyFont="1" applyFill="1" applyBorder="1" applyAlignment="1">
      <alignment horizontal="left" vertical="center" readingOrder="1"/>
    </xf>
    <xf numFmtId="0" fontId="66" fillId="35" borderId="1" xfId="0" applyFont="1" applyFill="1" applyBorder="1"/>
    <xf numFmtId="0" fontId="17" fillId="0" borderId="0" xfId="34" applyAlignment="1">
      <alignment vertical="center" wrapText="1"/>
    </xf>
    <xf numFmtId="0" fontId="0" fillId="0" borderId="0" xfId="0" applyAlignment="1">
      <alignment horizontal="left" vertical="top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21" fontId="0" fillId="0" borderId="1" xfId="0" applyNumberFormat="1" applyBorder="1"/>
    <xf numFmtId="0" fontId="56" fillId="0" borderId="1" xfId="0" applyFont="1" applyBorder="1" applyAlignment="1">
      <alignment horizontal="left"/>
    </xf>
    <xf numFmtId="0" fontId="29" fillId="43" borderId="4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26" fillId="49" borderId="4" xfId="0" applyFont="1" applyFill="1" applyBorder="1"/>
    <xf numFmtId="0" fontId="40" fillId="49" borderId="1" xfId="0" applyFont="1" applyFill="1" applyBorder="1"/>
    <xf numFmtId="0" fontId="0" fillId="41" borderId="0" xfId="0" applyFill="1" applyAlignment="1">
      <alignment horizontal="center"/>
    </xf>
    <xf numFmtId="0" fontId="0" fillId="43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8" borderId="0" xfId="0" applyFill="1"/>
    <xf numFmtId="0" fontId="0" fillId="43" borderId="1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1" xfId="0" applyFill="1" applyBorder="1"/>
    <xf numFmtId="0" fontId="0" fillId="0" borderId="1" xfId="0" applyBorder="1" applyAlignment="1">
      <alignment horizontal="left" vertical="top"/>
    </xf>
    <xf numFmtId="0" fontId="0" fillId="41" borderId="1" xfId="0" applyFill="1" applyBorder="1" applyAlignment="1">
      <alignment horizontal="left" vertical="top"/>
    </xf>
    <xf numFmtId="0" fontId="0" fillId="43" borderId="0" xfId="0" applyFill="1" applyAlignment="1">
      <alignment horizontal="left" vertical="top"/>
    </xf>
    <xf numFmtId="0" fontId="0" fillId="38" borderId="0" xfId="0" applyFill="1" applyAlignment="1">
      <alignment horizontal="left" vertical="top"/>
    </xf>
    <xf numFmtId="0" fontId="0" fillId="41" borderId="0" xfId="0" applyFill="1" applyAlignment="1">
      <alignment horizontal="left" vertical="top"/>
    </xf>
    <xf numFmtId="0" fontId="6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41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21" fontId="0" fillId="38" borderId="2" xfId="0" applyNumberFormat="1" applyFill="1" applyBorder="1" applyAlignment="1">
      <alignment horizontal="left" vertical="top"/>
    </xf>
    <xf numFmtId="14" fontId="0" fillId="38" borderId="2" xfId="0" applyNumberFormat="1" applyFill="1" applyBorder="1" applyAlignment="1">
      <alignment horizontal="left" vertical="top"/>
    </xf>
    <xf numFmtId="14" fontId="0" fillId="38" borderId="1" xfId="0" applyNumberFormat="1" applyFill="1" applyBorder="1" applyAlignment="1">
      <alignment horizontal="left" vertical="top"/>
    </xf>
    <xf numFmtId="14" fontId="0" fillId="43" borderId="0" xfId="0" applyNumberFormat="1" applyFill="1" applyAlignment="1">
      <alignment horizontal="center"/>
    </xf>
    <xf numFmtId="14" fontId="0" fillId="43" borderId="1" xfId="0" applyNumberFormat="1" applyFill="1" applyBorder="1"/>
    <xf numFmtId="14" fontId="0" fillId="43" borderId="0" xfId="0" applyNumberFormat="1" applyFill="1" applyAlignment="1">
      <alignment horizontal="left" vertical="top"/>
    </xf>
    <xf numFmtId="14" fontId="0" fillId="43" borderId="0" xfId="0" applyNumberFormat="1" applyFill="1"/>
    <xf numFmtId="21" fontId="0" fillId="38" borderId="1" xfId="0" applyNumberFormat="1" applyFill="1" applyBorder="1" applyAlignment="1">
      <alignment horizontal="left" vertical="top"/>
    </xf>
    <xf numFmtId="21" fontId="0" fillId="43" borderId="2" xfId="0" applyNumberFormat="1" applyFill="1" applyBorder="1" applyAlignment="1">
      <alignment horizontal="left" vertical="top"/>
    </xf>
    <xf numFmtId="14" fontId="0" fillId="43" borderId="2" xfId="0" applyNumberFormat="1" applyFill="1" applyBorder="1" applyAlignment="1">
      <alignment horizontal="left" vertical="top" wrapText="1"/>
    </xf>
    <xf numFmtId="14" fontId="0" fillId="43" borderId="1" xfId="0" applyNumberFormat="1" applyFill="1" applyBorder="1" applyAlignment="1">
      <alignment horizontal="left" vertical="top" wrapText="1"/>
    </xf>
    <xf numFmtId="21" fontId="0" fillId="43" borderId="1" xfId="0" applyNumberFormat="1" applyFill="1" applyBorder="1" applyAlignment="1">
      <alignment horizontal="left" vertical="top"/>
    </xf>
    <xf numFmtId="0" fontId="46" fillId="0" borderId="0" xfId="0" applyFont="1"/>
    <xf numFmtId="0" fontId="26" fillId="35" borderId="4" xfId="0" applyFont="1" applyFill="1" applyBorder="1"/>
    <xf numFmtId="0" fontId="73" fillId="0" borderId="4" xfId="0" applyFont="1" applyBorder="1" applyAlignment="1">
      <alignment horizontal="left"/>
    </xf>
    <xf numFmtId="0" fontId="45" fillId="45" borderId="1" xfId="0" applyFont="1" applyFill="1" applyBorder="1"/>
    <xf numFmtId="0" fontId="75" fillId="33" borderId="0" xfId="0" applyFont="1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76" fillId="33" borderId="0" xfId="0" applyFont="1" applyFill="1" applyAlignment="1">
      <alignment vertical="center" wrapText="1"/>
    </xf>
    <xf numFmtId="0" fontId="74" fillId="33" borderId="0" xfId="0" applyFont="1" applyFill="1" applyAlignment="1">
      <alignment vertical="center" wrapText="1"/>
    </xf>
    <xf numFmtId="0" fontId="77" fillId="33" borderId="0" xfId="0" applyFont="1" applyFill="1" applyAlignment="1">
      <alignment vertical="center" wrapText="1"/>
    </xf>
    <xf numFmtId="0" fontId="39" fillId="35" borderId="0" xfId="0" applyFont="1" applyFill="1"/>
    <xf numFmtId="0" fontId="59" fillId="0" borderId="0" xfId="0" applyFont="1"/>
    <xf numFmtId="0" fontId="57" fillId="0" borderId="0" xfId="0" applyFont="1"/>
    <xf numFmtId="0" fontId="58" fillId="0" borderId="0" xfId="0" applyFont="1"/>
    <xf numFmtId="0" fontId="79" fillId="0" borderId="0" xfId="0" applyFont="1"/>
    <xf numFmtId="0" fontId="78" fillId="0" borderId="0" xfId="0" applyFont="1"/>
    <xf numFmtId="0" fontId="39" fillId="0" borderId="0" xfId="0" applyFont="1"/>
    <xf numFmtId="0" fontId="80" fillId="0" borderId="0" xfId="0" applyFont="1"/>
    <xf numFmtId="0" fontId="81" fillId="0" borderId="0" xfId="0" applyFont="1"/>
    <xf numFmtId="0" fontId="0" fillId="35" borderId="3" xfId="0" applyFill="1" applyBorder="1"/>
    <xf numFmtId="0" fontId="0" fillId="35" borderId="3" xfId="0" applyFill="1" applyBorder="1" applyAlignment="1">
      <alignment horizontal="center"/>
    </xf>
    <xf numFmtId="0" fontId="0" fillId="35" borderId="8" xfId="0" applyFill="1" applyBorder="1"/>
    <xf numFmtId="0" fontId="0" fillId="35" borderId="1" xfId="0" applyFill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0" fontId="40" fillId="0" borderId="7" xfId="0" applyFont="1" applyBorder="1"/>
    <xf numFmtId="0" fontId="40" fillId="0" borderId="8" xfId="0" applyFont="1" applyBorder="1"/>
    <xf numFmtId="0" fontId="45" fillId="45" borderId="8" xfId="0" applyFont="1" applyFill="1" applyBorder="1"/>
    <xf numFmtId="0" fontId="40" fillId="35" borderId="8" xfId="0" applyFont="1" applyFill="1" applyBorder="1"/>
    <xf numFmtId="0" fontId="40" fillId="0" borderId="8" xfId="0" applyFont="1" applyBorder="1" applyAlignment="1">
      <alignment horizontal="left"/>
    </xf>
    <xf numFmtId="0" fontId="46" fillId="0" borderId="8" xfId="0" applyFont="1" applyBorder="1"/>
    <xf numFmtId="0" fontId="17" fillId="0" borderId="8" xfId="34" applyBorder="1"/>
    <xf numFmtId="0" fontId="0" fillId="0" borderId="8" xfId="0" applyBorder="1" applyAlignment="1">
      <alignment horizontal="left"/>
    </xf>
    <xf numFmtId="0" fontId="40" fillId="0" borderId="29" xfId="0" applyFont="1" applyBorder="1"/>
    <xf numFmtId="0" fontId="40" fillId="0" borderId="16" xfId="0" applyFont="1" applyBorder="1"/>
    <xf numFmtId="0" fontId="45" fillId="45" borderId="16" xfId="0" applyFont="1" applyFill="1" applyBorder="1"/>
    <xf numFmtId="0" fontId="40" fillId="35" borderId="16" xfId="0" applyFont="1" applyFill="1" applyBorder="1"/>
    <xf numFmtId="0" fontId="40" fillId="0" borderId="16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left"/>
    </xf>
    <xf numFmtId="0" fontId="46" fillId="0" borderId="16" xfId="0" applyFont="1" applyBorder="1"/>
    <xf numFmtId="0" fontId="17" fillId="0" borderId="16" xfId="34" applyBorder="1"/>
    <xf numFmtId="0" fontId="0" fillId="0" borderId="16" xfId="0" applyBorder="1" applyAlignment="1">
      <alignment horizontal="left"/>
    </xf>
    <xf numFmtId="0" fontId="23" fillId="0" borderId="1" xfId="0" applyFont="1" applyBorder="1" applyAlignment="1">
      <alignment horizontal="center"/>
    </xf>
    <xf numFmtId="0" fontId="0" fillId="33" borderId="0" xfId="0" applyFill="1"/>
    <xf numFmtId="49" fontId="0" fillId="35" borderId="1" xfId="0" applyNumberFormat="1" applyFill="1" applyBorder="1" applyAlignment="1">
      <alignment horizontal="right"/>
    </xf>
    <xf numFmtId="0" fontId="0" fillId="35" borderId="1" xfId="0" applyFill="1" applyBorder="1" applyAlignment="1">
      <alignment horizontal="center"/>
    </xf>
    <xf numFmtId="49" fontId="39" fillId="38" borderId="0" xfId="0" applyNumberFormat="1" applyFont="1" applyFill="1" applyAlignment="1">
      <alignment horizontal="right"/>
    </xf>
    <xf numFmtId="0" fontId="39" fillId="38" borderId="1" xfId="0" applyFont="1" applyFill="1" applyBorder="1"/>
    <xf numFmtId="0" fontId="39" fillId="38" borderId="3" xfId="0" applyFont="1" applyFill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0" fillId="48" borderId="1" xfId="0" applyFill="1" applyBorder="1"/>
    <xf numFmtId="0" fontId="82" fillId="54" borderId="1" xfId="0" applyFont="1" applyFill="1" applyBorder="1" applyAlignment="1">
      <alignment vertical="center"/>
    </xf>
    <xf numFmtId="0" fontId="83" fillId="55" borderId="1" xfId="0" applyFont="1" applyFill="1" applyBorder="1" applyAlignment="1">
      <alignment vertical="center"/>
    </xf>
    <xf numFmtId="0" fontId="84" fillId="0" borderId="1" xfId="0" applyFont="1" applyBorder="1" applyAlignment="1">
      <alignment horizontal="right" vertical="center"/>
    </xf>
    <xf numFmtId="0" fontId="84" fillId="0" borderId="1" xfId="0" applyFont="1" applyBorder="1" applyAlignment="1">
      <alignment vertical="center"/>
    </xf>
    <xf numFmtId="0" fontId="23" fillId="35" borderId="1" xfId="0" applyFont="1" applyFill="1" applyBorder="1"/>
    <xf numFmtId="0" fontId="82" fillId="54" borderId="4" xfId="0" applyFont="1" applyFill="1" applyBorder="1" applyAlignment="1">
      <alignment horizontal="center" vertical="center"/>
    </xf>
    <xf numFmtId="0" fontId="82" fillId="54" borderId="12" xfId="0" applyFont="1" applyFill="1" applyBorder="1" applyAlignment="1">
      <alignment horizontal="center" vertical="center"/>
    </xf>
    <xf numFmtId="0" fontId="84" fillId="0" borderId="51" xfId="0" applyFont="1" applyBorder="1" applyAlignment="1">
      <alignment horizontal="center" vertical="center"/>
    </xf>
    <xf numFmtId="0" fontId="83" fillId="55" borderId="52" xfId="0" applyFont="1" applyFill="1" applyBorder="1" applyAlignment="1">
      <alignment vertical="center"/>
    </xf>
    <xf numFmtId="0" fontId="84" fillId="0" borderId="52" xfId="0" applyFont="1" applyBorder="1" applyAlignment="1">
      <alignment vertical="center"/>
    </xf>
    <xf numFmtId="0" fontId="87" fillId="0" borderId="52" xfId="0" applyFont="1" applyBorder="1" applyAlignment="1">
      <alignment vertical="center"/>
    </xf>
    <xf numFmtId="0" fontId="84" fillId="56" borderId="52" xfId="0" applyFont="1" applyFill="1" applyBorder="1" applyAlignment="1">
      <alignment vertical="center"/>
    </xf>
    <xf numFmtId="0" fontId="82" fillId="54" borderId="52" xfId="0" applyFont="1" applyFill="1" applyBorder="1" applyAlignment="1">
      <alignment horizontal="center" vertical="center"/>
    </xf>
    <xf numFmtId="0" fontId="84" fillId="0" borderId="52" xfId="0" applyFont="1" applyBorder="1" applyAlignment="1">
      <alignment horizontal="center" vertical="center"/>
    </xf>
    <xf numFmtId="0" fontId="83" fillId="57" borderId="1" xfId="0" applyFont="1" applyFill="1" applyBorder="1" applyAlignment="1">
      <alignment vertical="center"/>
    </xf>
    <xf numFmtId="0" fontId="83" fillId="35" borderId="1" xfId="0" applyFont="1" applyFill="1" applyBorder="1" applyAlignment="1">
      <alignment horizontal="right" vertical="center"/>
    </xf>
    <xf numFmtId="0" fontId="0" fillId="45" borderId="0" xfId="0" applyFill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17" fillId="0" borderId="1" xfId="34" applyBorder="1" applyAlignment="1">
      <alignment vertical="center"/>
    </xf>
    <xf numFmtId="0" fontId="0" fillId="0" borderId="1" xfId="0" applyBorder="1" applyAlignment="1">
      <alignment horizontal="center" wrapText="1"/>
    </xf>
    <xf numFmtId="0" fontId="39" fillId="35" borderId="1" xfId="0" applyFont="1" applyFill="1" applyBorder="1" applyAlignment="1">
      <alignment horizontal="center"/>
    </xf>
    <xf numFmtId="0" fontId="81" fillId="0" borderId="1" xfId="0" applyFont="1" applyBorder="1"/>
    <xf numFmtId="0" fontId="0" fillId="58" borderId="1" xfId="0" applyFill="1" applyBorder="1"/>
    <xf numFmtId="0" fontId="0" fillId="58" borderId="1" xfId="0" applyFill="1" applyBorder="1" applyAlignment="1">
      <alignment horizontal="center"/>
    </xf>
    <xf numFmtId="0" fontId="0" fillId="58" borderId="1" xfId="0" applyFill="1" applyBorder="1" applyAlignment="1">
      <alignment horizontal="center" vertical="center"/>
    </xf>
    <xf numFmtId="0" fontId="0" fillId="58" borderId="5" xfId="0" applyFill="1" applyBorder="1"/>
    <xf numFmtId="0" fontId="0" fillId="58" borderId="3" xfId="0" applyFill="1" applyBorder="1"/>
    <xf numFmtId="0" fontId="0" fillId="58" borderId="3" xfId="0" applyFill="1" applyBorder="1" applyAlignment="1">
      <alignment horizontal="center"/>
    </xf>
    <xf numFmtId="0" fontId="0" fillId="58" borderId="0" xfId="0" applyFill="1" applyAlignment="1">
      <alignment horizontal="center"/>
    </xf>
    <xf numFmtId="0" fontId="0" fillId="58" borderId="8" xfId="0" applyFill="1" applyBorder="1"/>
    <xf numFmtId="0" fontId="0" fillId="58" borderId="2" xfId="0" applyFill="1" applyBorder="1" applyAlignment="1">
      <alignment horizontal="center" vertical="center"/>
    </xf>
    <xf numFmtId="4" fontId="0" fillId="0" borderId="1" xfId="0" applyNumberFormat="1" applyBorder="1"/>
    <xf numFmtId="14" fontId="0" fillId="4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88" fillId="0" borderId="0" xfId="0" applyFont="1"/>
    <xf numFmtId="0" fontId="79" fillId="35" borderId="4" xfId="0" applyFont="1" applyFill="1" applyBorder="1"/>
    <xf numFmtId="0" fontId="62" fillId="0" borderId="3" xfId="0" applyFont="1" applyBorder="1"/>
    <xf numFmtId="0" fontId="62" fillId="0" borderId="1" xfId="0" applyFont="1" applyBorder="1"/>
    <xf numFmtId="0" fontId="89" fillId="45" borderId="1" xfId="0" applyFont="1" applyFill="1" applyBorder="1"/>
    <xf numFmtId="0" fontId="62" fillId="0" borderId="1" xfId="0" applyFont="1" applyBorder="1" applyAlignment="1">
      <alignment horizontal="left"/>
    </xf>
    <xf numFmtId="0" fontId="90" fillId="0" borderId="1" xfId="34" applyFont="1" applyBorder="1"/>
    <xf numFmtId="0" fontId="59" fillId="0" borderId="1" xfId="0" applyFont="1" applyBorder="1" applyAlignment="1">
      <alignment horizontal="left"/>
    </xf>
    <xf numFmtId="0" fontId="59" fillId="0" borderId="1" xfId="0" applyFont="1" applyBorder="1"/>
    <xf numFmtId="0" fontId="91" fillId="0" borderId="1" xfId="34" applyFont="1" applyBorder="1"/>
    <xf numFmtId="0" fontId="50" fillId="0" borderId="1" xfId="0" applyFont="1" applyBorder="1" applyAlignment="1">
      <alignment horizontal="center"/>
    </xf>
    <xf numFmtId="0" fontId="39" fillId="35" borderId="1" xfId="0" applyFont="1" applyFill="1" applyBorder="1"/>
    <xf numFmtId="14" fontId="0" fillId="48" borderId="1" xfId="0" applyNumberFormat="1" applyFill="1" applyBorder="1"/>
    <xf numFmtId="0" fontId="37" fillId="0" borderId="3" xfId="0" applyFont="1" applyBorder="1"/>
    <xf numFmtId="0" fontId="37" fillId="0" borderId="16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66" fillId="0" borderId="1" xfId="0" applyFont="1" applyBorder="1"/>
    <xf numFmtId="0" fontId="92" fillId="35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0" fillId="45" borderId="0" xfId="0" applyFill="1" applyAlignment="1">
      <alignment horizontal="right"/>
    </xf>
    <xf numFmtId="0" fontId="93" fillId="0" borderId="1" xfId="0" applyFont="1" applyBorder="1"/>
    <xf numFmtId="0" fontId="93" fillId="0" borderId="1" xfId="0" applyFont="1" applyBorder="1" applyAlignment="1">
      <alignment horizontal="left"/>
    </xf>
    <xf numFmtId="0" fontId="93" fillId="0" borderId="0" xfId="0" applyFont="1"/>
    <xf numFmtId="0" fontId="93" fillId="0" borderId="3" xfId="0" applyFont="1" applyBorder="1"/>
    <xf numFmtId="21" fontId="24" fillId="0" borderId="0" xfId="0" applyNumberFormat="1" applyFont="1"/>
    <xf numFmtId="0" fontId="39" fillId="49" borderId="1" xfId="0" applyFont="1" applyFill="1" applyBorder="1"/>
    <xf numFmtId="0" fontId="93" fillId="35" borderId="1" xfId="0" applyFont="1" applyFill="1" applyBorder="1" applyAlignment="1">
      <alignment horizontal="left" vertical="center"/>
    </xf>
    <xf numFmtId="0" fontId="94" fillId="0" borderId="1" xfId="0" applyFont="1" applyBorder="1"/>
    <xf numFmtId="0" fontId="51" fillId="35" borderId="1" xfId="0" applyFont="1" applyFill="1" applyBorder="1"/>
    <xf numFmtId="0" fontId="30" fillId="0" borderId="36" xfId="0" applyFont="1" applyBorder="1" applyAlignment="1">
      <alignment horizontal="right" vertical="center" readingOrder="2"/>
    </xf>
    <xf numFmtId="0" fontId="30" fillId="0" borderId="36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0" fontId="24" fillId="0" borderId="0" xfId="0" applyFont="1" applyAlignment="1">
      <alignment wrapText="1"/>
    </xf>
    <xf numFmtId="0" fontId="24" fillId="0" borderId="34" xfId="0" applyFont="1" applyBorder="1" applyAlignment="1">
      <alignment wrapText="1"/>
    </xf>
    <xf numFmtId="0" fontId="30" fillId="0" borderId="1" xfId="0" applyFont="1" applyBorder="1" applyAlignment="1">
      <alignment horizontal="right" vertical="center" readingOrder="2"/>
    </xf>
    <xf numFmtId="0" fontId="30" fillId="0" borderId="33" xfId="0" applyFont="1" applyBorder="1" applyAlignment="1">
      <alignment vertical="center"/>
    </xf>
    <xf numFmtId="0" fontId="24" fillId="0" borderId="34" xfId="0" applyFont="1" applyBorder="1"/>
    <xf numFmtId="0" fontId="0" fillId="60" borderId="0" xfId="0" applyFill="1"/>
    <xf numFmtId="0" fontId="0" fillId="60" borderId="32" xfId="0" applyFill="1" applyBorder="1"/>
    <xf numFmtId="0" fontId="30" fillId="33" borderId="31" xfId="0" applyFont="1" applyFill="1" applyBorder="1" applyAlignment="1">
      <alignment horizontal="right" vertical="center" readingOrder="2"/>
    </xf>
    <xf numFmtId="0" fontId="95" fillId="33" borderId="31" xfId="0" applyFont="1" applyFill="1" applyBorder="1" applyAlignment="1">
      <alignment vertical="center"/>
    </xf>
    <xf numFmtId="0" fontId="29" fillId="33" borderId="31" xfId="0" applyFont="1" applyFill="1" applyBorder="1" applyAlignment="1">
      <alignment vertical="center"/>
    </xf>
    <xf numFmtId="0" fontId="29" fillId="33" borderId="31" xfId="0" applyFont="1" applyFill="1" applyBorder="1" applyAlignment="1">
      <alignment horizontal="center" vertical="center"/>
    </xf>
    <xf numFmtId="0" fontId="29" fillId="33" borderId="3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2" xfId="0" applyBorder="1"/>
    <xf numFmtId="0" fontId="0" fillId="0" borderId="53" xfId="0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>
      <alignment wrapText="1"/>
    </xf>
    <xf numFmtId="0" fontId="23" fillId="33" borderId="32" xfId="0" applyFont="1" applyFill="1" applyBorder="1" applyAlignment="1">
      <alignment wrapText="1"/>
    </xf>
    <xf numFmtId="0" fontId="23" fillId="33" borderId="53" xfId="0" applyFont="1" applyFill="1" applyBorder="1" applyAlignment="1">
      <alignment horizontal="center"/>
    </xf>
    <xf numFmtId="0" fontId="23" fillId="33" borderId="31" xfId="0" applyFont="1" applyFill="1" applyBorder="1" applyAlignment="1">
      <alignment horizontal="center"/>
    </xf>
    <xf numFmtId="0" fontId="23" fillId="33" borderId="30" xfId="0" applyFont="1" applyFill="1" applyBorder="1" applyAlignment="1">
      <alignment horizontal="center"/>
    </xf>
    <xf numFmtId="0" fontId="25" fillId="61" borderId="0" xfId="0" applyFont="1" applyFill="1"/>
    <xf numFmtId="4" fontId="0" fillId="0" borderId="0" xfId="0" applyNumberFormat="1"/>
    <xf numFmtId="0" fontId="26" fillId="0" borderId="0" xfId="0" applyFont="1" applyAlignment="1">
      <alignment horizontal="left"/>
    </xf>
    <xf numFmtId="0" fontId="0" fillId="37" borderId="0" xfId="0" applyFill="1"/>
    <xf numFmtId="4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0" fontId="0" fillId="37" borderId="1" xfId="0" applyFill="1" applyBorder="1"/>
    <xf numFmtId="4" fontId="0" fillId="37" borderId="1" xfId="0" applyNumberFormat="1" applyFill="1" applyBorder="1" applyAlignment="1">
      <alignment horizontal="center"/>
    </xf>
    <xf numFmtId="21" fontId="17" fillId="0" borderId="1" xfId="34" applyNumberFormat="1" applyBorder="1"/>
    <xf numFmtId="0" fontId="98" fillId="58" borderId="0" xfId="0" applyFont="1" applyFill="1"/>
    <xf numFmtId="4" fontId="98" fillId="58" borderId="0" xfId="0" applyNumberFormat="1" applyFont="1" applyFill="1"/>
    <xf numFmtId="21" fontId="98" fillId="58" borderId="0" xfId="0" applyNumberFormat="1" applyFont="1" applyFill="1"/>
    <xf numFmtId="0" fontId="26" fillId="0" borderId="0" xfId="0" applyFont="1" applyAlignment="1">
      <alignment horizontal="right"/>
    </xf>
    <xf numFmtId="4" fontId="26" fillId="0" borderId="0" xfId="0" applyNumberFormat="1" applyFont="1"/>
    <xf numFmtId="21" fontId="26" fillId="0" borderId="0" xfId="0" applyNumberFormat="1" applyFont="1"/>
    <xf numFmtId="4" fontId="23" fillId="0" borderId="0" xfId="0" applyNumberFormat="1" applyFont="1"/>
    <xf numFmtId="0" fontId="17" fillId="0" borderId="0" xfId="34" applyAlignment="1">
      <alignment horizontal="right" vertical="center"/>
    </xf>
    <xf numFmtId="0" fontId="25" fillId="0" borderId="0" xfId="0" applyFont="1" applyAlignment="1">
      <alignment horizontal="center"/>
    </xf>
    <xf numFmtId="0" fontId="17" fillId="0" borderId="0" xfId="34" applyBorder="1"/>
    <xf numFmtId="0" fontId="27" fillId="0" borderId="1" xfId="0" applyFont="1" applyBorder="1"/>
    <xf numFmtId="0" fontId="96" fillId="0" borderId="1" xfId="0" applyFont="1" applyBorder="1" applyAlignment="1">
      <alignment horizontal="center"/>
    </xf>
    <xf numFmtId="0" fontId="0" fillId="33" borderId="33" xfId="0" applyFill="1" applyBorder="1"/>
    <xf numFmtId="0" fontId="0" fillId="33" borderId="1" xfId="0" applyFill="1" applyBorder="1" applyAlignment="1">
      <alignment wrapText="1"/>
    </xf>
    <xf numFmtId="0" fontId="0" fillId="33" borderId="1" xfId="0" applyFill="1" applyBorder="1" applyAlignment="1">
      <alignment horizontal="center"/>
    </xf>
    <xf numFmtId="0" fontId="96" fillId="33" borderId="1" xfId="0" applyFont="1" applyFill="1" applyBorder="1" applyAlignment="1">
      <alignment horizontal="center"/>
    </xf>
    <xf numFmtId="0" fontId="0" fillId="33" borderId="34" xfId="0" applyFill="1" applyBorder="1"/>
    <xf numFmtId="0" fontId="0" fillId="0" borderId="34" xfId="0" applyBorder="1" applyAlignment="1">
      <alignment wrapText="1"/>
    </xf>
    <xf numFmtId="0" fontId="0" fillId="37" borderId="33" xfId="0" applyFill="1" applyBorder="1"/>
    <xf numFmtId="0" fontId="0" fillId="37" borderId="1" xfId="0" applyFill="1" applyBorder="1" applyAlignment="1">
      <alignment wrapText="1"/>
    </xf>
    <xf numFmtId="0" fontId="0" fillId="37" borderId="1" xfId="0" applyFill="1" applyBorder="1" applyAlignment="1">
      <alignment horizontal="center"/>
    </xf>
    <xf numFmtId="0" fontId="0" fillId="37" borderId="34" xfId="0" applyFill="1" applyBorder="1"/>
    <xf numFmtId="0" fontId="0" fillId="37" borderId="33" xfId="0" applyFill="1" applyBorder="1" applyAlignment="1">
      <alignment wrapText="1"/>
    </xf>
    <xf numFmtId="0" fontId="0" fillId="37" borderId="1" xfId="0" applyFill="1" applyBorder="1" applyAlignment="1">
      <alignment horizontal="center" wrapText="1"/>
    </xf>
    <xf numFmtId="0" fontId="0" fillId="37" borderId="35" xfId="0" applyFill="1" applyBorder="1" applyAlignment="1">
      <alignment wrapText="1"/>
    </xf>
    <xf numFmtId="0" fontId="0" fillId="37" borderId="36" xfId="0" applyFill="1" applyBorder="1"/>
    <xf numFmtId="0" fontId="0" fillId="37" borderId="36" xfId="0" applyFill="1" applyBorder="1" applyAlignment="1">
      <alignment wrapText="1"/>
    </xf>
    <xf numFmtId="0" fontId="0" fillId="37" borderId="36" xfId="0" applyFill="1" applyBorder="1" applyAlignment="1">
      <alignment horizontal="center" wrapText="1"/>
    </xf>
    <xf numFmtId="0" fontId="0" fillId="37" borderId="37" xfId="0" applyFill="1" applyBorder="1"/>
    <xf numFmtId="0" fontId="0" fillId="0" borderId="30" xfId="0" applyBorder="1"/>
    <xf numFmtId="0" fontId="24" fillId="0" borderId="37" xfId="0" applyFont="1" applyBorder="1"/>
    <xf numFmtId="0" fontId="59" fillId="0" borderId="2" xfId="0" applyFont="1" applyBorder="1" applyAlignment="1">
      <alignment horizontal="center" vertical="center"/>
    </xf>
    <xf numFmtId="0" fontId="70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0" fontId="50" fillId="0" borderId="8" xfId="0" applyFont="1" applyBorder="1" applyAlignment="1">
      <alignment vertical="center"/>
    </xf>
    <xf numFmtId="0" fontId="50" fillId="0" borderId="3" xfId="0" applyFont="1" applyBorder="1" applyAlignment="1">
      <alignment horizontal="center" vertical="center" wrapText="1"/>
    </xf>
    <xf numFmtId="0" fontId="50" fillId="0" borderId="3" xfId="0" applyFont="1" applyBorder="1"/>
    <xf numFmtId="0" fontId="0" fillId="45" borderId="1" xfId="0" applyFill="1" applyBorder="1" applyAlignment="1">
      <alignment horizontal="left" vertical="center"/>
    </xf>
    <xf numFmtId="0" fontId="50" fillId="0" borderId="1" xfId="0" applyFont="1" applyBorder="1" applyAlignment="1">
      <alignment horizontal="left"/>
    </xf>
    <xf numFmtId="0" fontId="88" fillId="0" borderId="1" xfId="0" applyFont="1" applyBorder="1"/>
    <xf numFmtId="0" fontId="88" fillId="35" borderId="1" xfId="0" applyFont="1" applyFill="1" applyBorder="1"/>
    <xf numFmtId="0" fontId="99" fillId="0" borderId="1" xfId="0" applyFont="1" applyBorder="1"/>
    <xf numFmtId="0" fontId="88" fillId="0" borderId="1" xfId="0" applyFont="1" applyBorder="1" applyAlignment="1">
      <alignment horizontal="center"/>
    </xf>
    <xf numFmtId="0" fontId="88" fillId="0" borderId="1" xfId="0" applyFont="1" applyBorder="1" applyAlignment="1">
      <alignment horizontal="left"/>
    </xf>
    <xf numFmtId="0" fontId="28" fillId="33" borderId="9" xfId="0" applyFont="1" applyFill="1" applyBorder="1" applyAlignment="1">
      <alignment horizontal="center"/>
    </xf>
    <xf numFmtId="0" fontId="28" fillId="33" borderId="10" xfId="0" applyFont="1" applyFill="1" applyBorder="1" applyAlignment="1">
      <alignment horizontal="center"/>
    </xf>
    <xf numFmtId="0" fontId="28" fillId="33" borderId="18" xfId="0" applyFont="1" applyFill="1" applyBorder="1" applyAlignment="1">
      <alignment horizontal="center"/>
    </xf>
    <xf numFmtId="0" fontId="28" fillId="33" borderId="17" xfId="0" applyFont="1" applyFill="1" applyBorder="1" applyAlignment="1">
      <alignment horizontal="center"/>
    </xf>
    <xf numFmtId="0" fontId="28" fillId="33" borderId="13" xfId="0" applyFont="1" applyFill="1" applyBorder="1" applyAlignment="1">
      <alignment horizontal="center"/>
    </xf>
    <xf numFmtId="0" fontId="28" fillId="33" borderId="17" xfId="0" applyFont="1" applyFill="1" applyBorder="1" applyAlignment="1">
      <alignment horizontal="center" vertical="center"/>
    </xf>
    <xf numFmtId="0" fontId="28" fillId="33" borderId="13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/>
    </xf>
    <xf numFmtId="0" fontId="73" fillId="52" borderId="49" xfId="0" applyFont="1" applyFill="1" applyBorder="1" applyAlignment="1">
      <alignment horizontal="center"/>
    </xf>
    <xf numFmtId="0" fontId="73" fillId="53" borderId="49" xfId="0" applyFont="1" applyFill="1" applyBorder="1" applyAlignment="1">
      <alignment horizontal="center"/>
    </xf>
    <xf numFmtId="0" fontId="73" fillId="53" borderId="0" xfId="0" applyFont="1" applyFill="1" applyAlignment="1">
      <alignment horizontal="center"/>
    </xf>
    <xf numFmtId="0" fontId="44" fillId="0" borderId="49" xfId="0" applyFont="1" applyBorder="1" applyAlignment="1">
      <alignment horizontal="center"/>
    </xf>
    <xf numFmtId="0" fontId="73" fillId="59" borderId="49" xfId="0" applyFont="1" applyFill="1" applyBorder="1" applyAlignment="1">
      <alignment horizontal="center"/>
    </xf>
    <xf numFmtId="0" fontId="97" fillId="33" borderId="0" xfId="0" applyFont="1" applyFill="1"/>
    <xf numFmtId="0" fontId="97" fillId="0" borderId="0" xfId="0" applyFont="1"/>
    <xf numFmtId="0" fontId="23" fillId="33" borderId="49" xfId="0" applyFont="1" applyFill="1" applyBorder="1"/>
    <xf numFmtId="0" fontId="23" fillId="0" borderId="49" xfId="0" applyFont="1" applyBorder="1"/>
    <xf numFmtId="0" fontId="0" fillId="0" borderId="1" xfId="0" applyBorder="1" applyAlignment="1">
      <alignment horizontal="center"/>
    </xf>
    <xf numFmtId="0" fontId="0" fillId="43" borderId="1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83" fillId="55" borderId="8" xfId="0" applyFont="1" applyFill="1" applyBorder="1" applyAlignment="1">
      <alignment horizontal="center" vertical="center"/>
    </xf>
    <xf numFmtId="0" fontId="83" fillId="55" borderId="28" xfId="0" applyFont="1" applyFill="1" applyBorder="1" applyAlignment="1">
      <alignment horizontal="center" vertical="center"/>
    </xf>
    <xf numFmtId="0" fontId="85" fillId="45" borderId="8" xfId="0" applyFont="1" applyFill="1" applyBorder="1" applyAlignment="1">
      <alignment horizontal="center" vertical="center"/>
    </xf>
    <xf numFmtId="0" fontId="85" fillId="45" borderId="16" xfId="0" applyFont="1" applyFill="1" applyBorder="1" applyAlignment="1">
      <alignment horizontal="center" vertical="center"/>
    </xf>
    <xf numFmtId="0" fontId="85" fillId="38" borderId="8" xfId="0" applyFont="1" applyFill="1" applyBorder="1" applyAlignment="1">
      <alignment horizontal="center" vertical="center"/>
    </xf>
    <xf numFmtId="0" fontId="85" fillId="38" borderId="16" xfId="0" applyFont="1" applyFill="1" applyBorder="1" applyAlignment="1">
      <alignment horizontal="center" vertical="center"/>
    </xf>
    <xf numFmtId="0" fontId="85" fillId="48" borderId="15" xfId="0" applyFont="1" applyFill="1" applyBorder="1" applyAlignment="1">
      <alignment horizontal="center" vertical="center"/>
    </xf>
    <xf numFmtId="0" fontId="85" fillId="48" borderId="0" xfId="0" applyFont="1" applyFill="1" applyAlignment="1">
      <alignment horizontal="center" vertical="center"/>
    </xf>
    <xf numFmtId="0" fontId="83" fillId="55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center" vertical="center"/>
    </xf>
    <xf numFmtId="0" fontId="23" fillId="0" borderId="46" xfId="0" applyFont="1" applyBorder="1" applyAlignment="1">
      <alignment horizontal="center"/>
    </xf>
    <xf numFmtId="0" fontId="23" fillId="0" borderId="47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0" borderId="44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9" xfId="0" applyBorder="1" applyAlignment="1">
      <alignment horizontal="center"/>
    </xf>
    <xf numFmtId="0" fontId="23" fillId="0" borderId="44" xfId="0" applyFont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45" borderId="8" xfId="0" applyFill="1" applyBorder="1" applyAlignment="1">
      <alignment horizontal="right"/>
    </xf>
    <xf numFmtId="0" fontId="0" fillId="45" borderId="16" xfId="0" applyFill="1" applyBorder="1" applyAlignment="1">
      <alignment horizontal="right"/>
    </xf>
    <xf numFmtId="0" fontId="39" fillId="38" borderId="8" xfId="0" applyFont="1" applyFill="1" applyBorder="1" applyAlignment="1">
      <alignment horizontal="center"/>
    </xf>
    <xf numFmtId="0" fontId="39" fillId="38" borderId="16" xfId="0" applyFont="1" applyFill="1" applyBorder="1" applyAlignment="1">
      <alignment horizontal="center"/>
    </xf>
    <xf numFmtId="0" fontId="17" fillId="0" borderId="8" xfId="34" applyBorder="1" applyAlignment="1">
      <alignment horizontal="center"/>
    </xf>
    <xf numFmtId="0" fontId="48" fillId="0" borderId="16" xfId="0" applyFont="1" applyBorder="1" applyAlignment="1">
      <alignment horizontal="center"/>
    </xf>
    <xf numFmtId="0" fontId="0" fillId="45" borderId="7" xfId="0" applyFill="1" applyBorder="1" applyAlignment="1">
      <alignment horizontal="right"/>
    </xf>
    <xf numFmtId="0" fontId="0" fillId="45" borderId="29" xfId="0" applyFill="1" applyBorder="1" applyAlignment="1">
      <alignment horizontal="right"/>
    </xf>
    <xf numFmtId="0" fontId="39" fillId="38" borderId="28" xfId="0" applyFont="1" applyFill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4" xfId="38" xr:uid="{AC198BF6-CD43-4D7F-B620-026765791595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mruColors>
      <color rgb="FFAA72D4"/>
      <color rgb="FFFF9999"/>
      <color rgb="FFFFCC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9525</xdr:rowOff>
        </xdr:from>
        <xdr:to>
          <xdr:col>0</xdr:col>
          <xdr:colOff>161925</xdr:colOff>
          <xdr:row>14</xdr:row>
          <xdr:rowOff>47625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8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28575</xdr:rowOff>
        </xdr:from>
        <xdr:to>
          <xdr:col>0</xdr:col>
          <xdr:colOff>161925</xdr:colOff>
          <xdr:row>21</xdr:row>
          <xdr:rowOff>66675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8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38100</xdr:rowOff>
        </xdr:from>
        <xdr:to>
          <xdr:col>0</xdr:col>
          <xdr:colOff>161925</xdr:colOff>
          <xdr:row>23</xdr:row>
          <xdr:rowOff>66675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8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47625</xdr:rowOff>
        </xdr:from>
        <xdr:to>
          <xdr:col>0</xdr:col>
          <xdr:colOff>161925</xdr:colOff>
          <xdr:row>27</xdr:row>
          <xdr:rowOff>0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8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47625</xdr:rowOff>
        </xdr:from>
        <xdr:to>
          <xdr:col>0</xdr:col>
          <xdr:colOff>161925</xdr:colOff>
          <xdr:row>27</xdr:row>
          <xdr:rowOff>0</xdr:rowOff>
        </xdr:to>
        <xdr:sp macro="" textlink="">
          <xdr:nvSpPr>
            <xdr:cNvPr id="5125" name="Control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8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47625</xdr:rowOff>
        </xdr:from>
        <xdr:to>
          <xdr:col>0</xdr:col>
          <xdr:colOff>161925</xdr:colOff>
          <xdr:row>27</xdr:row>
          <xdr:rowOff>0</xdr:rowOff>
        </xdr:to>
        <xdr:sp macro="" textlink="">
          <xdr:nvSpPr>
            <xdr:cNvPr id="5126" name="Control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8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57150</xdr:rowOff>
        </xdr:from>
        <xdr:to>
          <xdr:col>0</xdr:col>
          <xdr:colOff>161925</xdr:colOff>
          <xdr:row>28</xdr:row>
          <xdr:rowOff>85725</xdr:rowOff>
        </xdr:to>
        <xdr:sp macro="" textlink="">
          <xdr:nvSpPr>
            <xdr:cNvPr id="5127" name="Control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8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57150</xdr:rowOff>
        </xdr:from>
        <xdr:to>
          <xdr:col>0</xdr:col>
          <xdr:colOff>161925</xdr:colOff>
          <xdr:row>29</xdr:row>
          <xdr:rowOff>85725</xdr:rowOff>
        </xdr:to>
        <xdr:sp macro="" textlink="">
          <xdr:nvSpPr>
            <xdr:cNvPr id="5128" name="Control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8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66675</xdr:rowOff>
        </xdr:from>
        <xdr:to>
          <xdr:col>0</xdr:col>
          <xdr:colOff>161925</xdr:colOff>
          <xdr:row>31</xdr:row>
          <xdr:rowOff>104775</xdr:rowOff>
        </xdr:to>
        <xdr:sp macro="" textlink="">
          <xdr:nvSpPr>
            <xdr:cNvPr id="5129" name="Control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8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66675</xdr:rowOff>
        </xdr:from>
        <xdr:to>
          <xdr:col>0</xdr:col>
          <xdr:colOff>161925</xdr:colOff>
          <xdr:row>32</xdr:row>
          <xdr:rowOff>104775</xdr:rowOff>
        </xdr:to>
        <xdr:sp macro="" textlink="">
          <xdr:nvSpPr>
            <xdr:cNvPr id="5130" name="Control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8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66675</xdr:rowOff>
        </xdr:from>
        <xdr:to>
          <xdr:col>0</xdr:col>
          <xdr:colOff>161925</xdr:colOff>
          <xdr:row>33</xdr:row>
          <xdr:rowOff>0</xdr:rowOff>
        </xdr:to>
        <xdr:sp macro="" textlink="">
          <xdr:nvSpPr>
            <xdr:cNvPr id="5131" name="Control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8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66675</xdr:rowOff>
        </xdr:from>
        <xdr:to>
          <xdr:col>0</xdr:col>
          <xdr:colOff>161925</xdr:colOff>
          <xdr:row>36</xdr:row>
          <xdr:rowOff>104775</xdr:rowOff>
        </xdr:to>
        <xdr:sp macro="" textlink="">
          <xdr:nvSpPr>
            <xdr:cNvPr id="5132" name="Control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8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3" name="Control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8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4" name="Control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8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5" name="Control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8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6" name="Control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8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7" name="Control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8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8" name="Control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8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39" name="Control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8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0" name="Control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8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1" name="Control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8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2" name="Control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8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3" name="Control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8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4" name="Control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8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5" name="Control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8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6" name="Control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8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7" name="Control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8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8" name="Control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8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49" name="Control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8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50" name="Control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8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76200</xdr:rowOff>
        </xdr:from>
        <xdr:to>
          <xdr:col>0</xdr:col>
          <xdr:colOff>161925</xdr:colOff>
          <xdr:row>37</xdr:row>
          <xdr:rowOff>114300</xdr:rowOff>
        </xdr:to>
        <xdr:sp macro="" textlink="">
          <xdr:nvSpPr>
            <xdr:cNvPr id="5151" name="Control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8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0</xdr:colOff>
      <xdr:row>80</xdr:row>
      <xdr:rowOff>0</xdr:rowOff>
    </xdr:from>
    <xdr:to>
      <xdr:col>10</xdr:col>
      <xdr:colOff>816044</xdr:colOff>
      <xdr:row>90</xdr:row>
      <xdr:rowOff>260892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296C9-9A9A-4753-A3BD-2F50BAC00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3941" y="15464118"/>
          <a:ext cx="3968632" cy="3084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769471</xdr:colOff>
      <xdr:row>46</xdr:row>
      <xdr:rowOff>14941</xdr:rowOff>
    </xdr:from>
    <xdr:to>
      <xdr:col>16</xdr:col>
      <xdr:colOff>472397</xdr:colOff>
      <xdr:row>59</xdr:row>
      <xdr:rowOff>89068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3CF62-93FC-E54C-F823-036759922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3118" y="6731000"/>
          <a:ext cx="3968632" cy="30847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ael Merpert" id="{8FB6830A-6CD8-4EF3-8D70-C83FC83965BB}" userId="S::yaelme@court.gov.il::3c8dd024-bf09-49f2-8a83-bdf141b511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5-01-20T10:30:02.97" personId="{8FB6830A-6CD8-4EF3-8D70-C83FC83965BB}" id="{13448795-27E3-4917-B3F7-3C81EF11EC17}">
    <text>2019</text>
  </threadedComment>
  <threadedComment ref="H5" dT="2025-01-20T13:41:18.93" personId="{8FB6830A-6CD8-4EF3-8D70-C83FC83965BB}" id="{0B4F2EA3-639D-43CC-85E5-3204BE191246}" parentId="{13448795-27E3-4917-B3F7-3C81EF11EC17}">
    <text>2020 -01:46</text>
  </threadedComment>
  <threadedComment ref="H6" dT="2025-01-23T13:08:10.03" personId="{8FB6830A-6CD8-4EF3-8D70-C83FC83965BB}" id="{D78C2EEE-C9A8-432F-983C-5ED1F7AFD1C2}">
    <text>15min - 2019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l-central-1.console.aws.amazon.com/rds/home?region=il-central-1" TargetMode="External"/><Relationship Id="rId3" Type="http://schemas.openxmlformats.org/officeDocument/2006/relationships/hyperlink" Target="https://il-central-1.console.aws.amazon.com/rds/home?region=il-central-1" TargetMode="External"/><Relationship Id="rId7" Type="http://schemas.openxmlformats.org/officeDocument/2006/relationships/hyperlink" Target="https://digital-lz-il.awsapps.com/start/" TargetMode="External"/><Relationship Id="rId2" Type="http://schemas.openxmlformats.org/officeDocument/2006/relationships/hyperlink" Target="https://il-central-1.console.aws.amazon.com/rds/home?region=il-central-1" TargetMode="External"/><Relationship Id="rId1" Type="http://schemas.openxmlformats.org/officeDocument/2006/relationships/hyperlink" Target="https://il-central-1.console.aws.amazon.com/rds/home?region=il-central-1" TargetMode="External"/><Relationship Id="rId6" Type="http://schemas.openxmlformats.org/officeDocument/2006/relationships/hyperlink" Target="https://digital-lz-il.awsapps.com/start/" TargetMode="External"/><Relationship Id="rId5" Type="http://schemas.openxmlformats.org/officeDocument/2006/relationships/hyperlink" Target="https://digital-lz-il.awsapps.com/start/" TargetMode="External"/><Relationship Id="rId4" Type="http://schemas.openxmlformats.org/officeDocument/2006/relationships/hyperlink" Target="https://il-central-1.console.aws.amazon.com/rds/home?region=il-central-1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9.xml"/><Relationship Id="rId21" Type="http://schemas.openxmlformats.org/officeDocument/2006/relationships/image" Target="../media/image6.emf"/><Relationship Id="rId42" Type="http://schemas.openxmlformats.org/officeDocument/2006/relationships/control" Target="../activeX/activeX17.xml"/><Relationship Id="rId47" Type="http://schemas.openxmlformats.org/officeDocument/2006/relationships/image" Target="../media/image19.emf"/><Relationship Id="rId63" Type="http://schemas.openxmlformats.org/officeDocument/2006/relationships/image" Target="../media/image27.emf"/><Relationship Id="rId68" Type="http://schemas.openxmlformats.org/officeDocument/2006/relationships/control" Target="../activeX/activeX30.xml"/><Relationship Id="rId7" Type="http://schemas.openxmlformats.org/officeDocument/2006/relationships/printerSettings" Target="../printerSettings/printerSettings3.bin"/><Relationship Id="rId71" Type="http://schemas.openxmlformats.org/officeDocument/2006/relationships/image" Target="../media/image31.emf"/><Relationship Id="rId2" Type="http://schemas.openxmlformats.org/officeDocument/2006/relationships/hyperlink" Target="https://il-central-1.console.aws.amazon.com/ec2/v2/home?region=il-central-1" TargetMode="External"/><Relationship Id="rId16" Type="http://schemas.openxmlformats.org/officeDocument/2006/relationships/control" Target="../activeX/activeX4.xml"/><Relationship Id="rId29" Type="http://schemas.openxmlformats.org/officeDocument/2006/relationships/image" Target="../media/image10.emf"/><Relationship Id="rId11" Type="http://schemas.openxmlformats.org/officeDocument/2006/relationships/image" Target="../media/image1.emf"/><Relationship Id="rId24" Type="http://schemas.openxmlformats.org/officeDocument/2006/relationships/control" Target="../activeX/activeX8.xml"/><Relationship Id="rId32" Type="http://schemas.openxmlformats.org/officeDocument/2006/relationships/control" Target="../activeX/activeX12.xml"/><Relationship Id="rId37" Type="http://schemas.openxmlformats.org/officeDocument/2006/relationships/image" Target="../media/image14.emf"/><Relationship Id="rId40" Type="http://schemas.openxmlformats.org/officeDocument/2006/relationships/control" Target="../activeX/activeX16.xml"/><Relationship Id="rId45" Type="http://schemas.openxmlformats.org/officeDocument/2006/relationships/image" Target="../media/image18.emf"/><Relationship Id="rId53" Type="http://schemas.openxmlformats.org/officeDocument/2006/relationships/image" Target="../media/image22.emf"/><Relationship Id="rId58" Type="http://schemas.openxmlformats.org/officeDocument/2006/relationships/control" Target="../activeX/activeX25.xml"/><Relationship Id="rId66" Type="http://schemas.openxmlformats.org/officeDocument/2006/relationships/control" Target="../activeX/activeX29.xml"/><Relationship Id="rId5" Type="http://schemas.openxmlformats.org/officeDocument/2006/relationships/hyperlink" Target="https://il-central-1.console.aws.amazon.com/vpc/home?region=il-central-1" TargetMode="External"/><Relationship Id="rId61" Type="http://schemas.openxmlformats.org/officeDocument/2006/relationships/image" Target="../media/image26.emf"/><Relationship Id="rId19" Type="http://schemas.openxmlformats.org/officeDocument/2006/relationships/image" Target="../media/image5.emf"/><Relationship Id="rId14" Type="http://schemas.openxmlformats.org/officeDocument/2006/relationships/control" Target="../activeX/activeX3.xml"/><Relationship Id="rId22" Type="http://schemas.openxmlformats.org/officeDocument/2006/relationships/control" Target="../activeX/activeX7.xml"/><Relationship Id="rId27" Type="http://schemas.openxmlformats.org/officeDocument/2006/relationships/image" Target="../media/image9.emf"/><Relationship Id="rId30" Type="http://schemas.openxmlformats.org/officeDocument/2006/relationships/control" Target="../activeX/activeX11.xml"/><Relationship Id="rId35" Type="http://schemas.openxmlformats.org/officeDocument/2006/relationships/image" Target="../media/image13.emf"/><Relationship Id="rId43" Type="http://schemas.openxmlformats.org/officeDocument/2006/relationships/image" Target="../media/image17.emf"/><Relationship Id="rId48" Type="http://schemas.openxmlformats.org/officeDocument/2006/relationships/control" Target="../activeX/activeX20.xml"/><Relationship Id="rId56" Type="http://schemas.openxmlformats.org/officeDocument/2006/relationships/control" Target="../activeX/activeX24.xml"/><Relationship Id="rId64" Type="http://schemas.openxmlformats.org/officeDocument/2006/relationships/control" Target="../activeX/activeX28.xml"/><Relationship Id="rId69" Type="http://schemas.openxmlformats.org/officeDocument/2006/relationships/image" Target="../media/image30.emf"/><Relationship Id="rId8" Type="http://schemas.openxmlformats.org/officeDocument/2006/relationships/drawing" Target="../drawings/drawing1.xml"/><Relationship Id="rId51" Type="http://schemas.openxmlformats.org/officeDocument/2006/relationships/image" Target="../media/image21.emf"/><Relationship Id="rId3" Type="http://schemas.openxmlformats.org/officeDocument/2006/relationships/hyperlink" Target="https://il-central-1.console.aws.amazon.com/vpc/home?region=il-central-1" TargetMode="External"/><Relationship Id="rId12" Type="http://schemas.openxmlformats.org/officeDocument/2006/relationships/control" Target="../activeX/activeX2.xml"/><Relationship Id="rId17" Type="http://schemas.openxmlformats.org/officeDocument/2006/relationships/image" Target="../media/image4.emf"/><Relationship Id="rId25" Type="http://schemas.openxmlformats.org/officeDocument/2006/relationships/image" Target="../media/image8.emf"/><Relationship Id="rId33" Type="http://schemas.openxmlformats.org/officeDocument/2006/relationships/image" Target="../media/image12.emf"/><Relationship Id="rId38" Type="http://schemas.openxmlformats.org/officeDocument/2006/relationships/control" Target="../activeX/activeX15.xml"/><Relationship Id="rId46" Type="http://schemas.openxmlformats.org/officeDocument/2006/relationships/control" Target="../activeX/activeX19.xml"/><Relationship Id="rId59" Type="http://schemas.openxmlformats.org/officeDocument/2006/relationships/image" Target="../media/image25.emf"/><Relationship Id="rId67" Type="http://schemas.openxmlformats.org/officeDocument/2006/relationships/image" Target="../media/image29.emf"/><Relationship Id="rId20" Type="http://schemas.openxmlformats.org/officeDocument/2006/relationships/control" Target="../activeX/activeX6.xml"/><Relationship Id="rId41" Type="http://schemas.openxmlformats.org/officeDocument/2006/relationships/image" Target="../media/image16.emf"/><Relationship Id="rId54" Type="http://schemas.openxmlformats.org/officeDocument/2006/relationships/control" Target="../activeX/activeX23.xml"/><Relationship Id="rId62" Type="http://schemas.openxmlformats.org/officeDocument/2006/relationships/control" Target="../activeX/activeX27.xml"/><Relationship Id="rId70" Type="http://schemas.openxmlformats.org/officeDocument/2006/relationships/control" Target="../activeX/activeX31.xml"/><Relationship Id="rId1" Type="http://schemas.openxmlformats.org/officeDocument/2006/relationships/hyperlink" Target="https://il-central-1.console.aws.amazon.com/ec2/v2/home?region=il-central-1" TargetMode="External"/><Relationship Id="rId6" Type="http://schemas.openxmlformats.org/officeDocument/2006/relationships/hyperlink" Target="https://il-central-1.console.aws.amazon.com/ec2/v2/home?region=il-central-1" TargetMode="External"/><Relationship Id="rId15" Type="http://schemas.openxmlformats.org/officeDocument/2006/relationships/image" Target="../media/image3.emf"/><Relationship Id="rId23" Type="http://schemas.openxmlformats.org/officeDocument/2006/relationships/image" Target="../media/image7.emf"/><Relationship Id="rId28" Type="http://schemas.openxmlformats.org/officeDocument/2006/relationships/control" Target="../activeX/activeX10.xml"/><Relationship Id="rId36" Type="http://schemas.openxmlformats.org/officeDocument/2006/relationships/control" Target="../activeX/activeX14.xml"/><Relationship Id="rId49" Type="http://schemas.openxmlformats.org/officeDocument/2006/relationships/image" Target="../media/image20.emf"/><Relationship Id="rId57" Type="http://schemas.openxmlformats.org/officeDocument/2006/relationships/image" Target="../media/image24.emf"/><Relationship Id="rId10" Type="http://schemas.openxmlformats.org/officeDocument/2006/relationships/control" Target="../activeX/activeX1.xml"/><Relationship Id="rId31" Type="http://schemas.openxmlformats.org/officeDocument/2006/relationships/image" Target="../media/image11.emf"/><Relationship Id="rId44" Type="http://schemas.openxmlformats.org/officeDocument/2006/relationships/control" Target="../activeX/activeX18.xml"/><Relationship Id="rId52" Type="http://schemas.openxmlformats.org/officeDocument/2006/relationships/control" Target="../activeX/activeX22.xml"/><Relationship Id="rId60" Type="http://schemas.openxmlformats.org/officeDocument/2006/relationships/control" Target="../activeX/activeX26.xml"/><Relationship Id="rId65" Type="http://schemas.openxmlformats.org/officeDocument/2006/relationships/image" Target="../media/image28.emf"/><Relationship Id="rId4" Type="http://schemas.openxmlformats.org/officeDocument/2006/relationships/hyperlink" Target="https://il-central-1.console.aws.amazon.com/vpc/home?region=il-central-1" TargetMode="External"/><Relationship Id="rId9" Type="http://schemas.openxmlformats.org/officeDocument/2006/relationships/vmlDrawing" Target="../drawings/vmlDrawing1.vml"/><Relationship Id="rId13" Type="http://schemas.openxmlformats.org/officeDocument/2006/relationships/image" Target="../media/image2.emf"/><Relationship Id="rId18" Type="http://schemas.openxmlformats.org/officeDocument/2006/relationships/control" Target="../activeX/activeX5.xml"/><Relationship Id="rId39" Type="http://schemas.openxmlformats.org/officeDocument/2006/relationships/image" Target="../media/image15.emf"/><Relationship Id="rId34" Type="http://schemas.openxmlformats.org/officeDocument/2006/relationships/control" Target="../activeX/activeX13.xml"/><Relationship Id="rId50" Type="http://schemas.openxmlformats.org/officeDocument/2006/relationships/control" Target="../activeX/activeX21.xml"/><Relationship Id="rId55" Type="http://schemas.openxmlformats.org/officeDocument/2006/relationships/image" Target="../media/image23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file:///\\10.51.10.185\synctoaw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file:///\\172.25.20.15\Q$\SQLBACKUP\CUTOVER_IDC\NGCS_INFRASTRUCTURE_IDC_B4.bak" TargetMode="External"/><Relationship Id="rId3" Type="http://schemas.openxmlformats.org/officeDocument/2006/relationships/hyperlink" Target="file:///\\10.51.11.38\T$\SQL_BACKUP\CUTOVER_EDC\NGCS_EDC_B4.bak" TargetMode="External"/><Relationship Id="rId7" Type="http://schemas.openxmlformats.org/officeDocument/2006/relationships/hyperlink" Target="file:///\\172.25.20.15\Q$\SQLBACKUP\CUTOVER_IDC\NGCS_IDC_OPS_B4.bak" TargetMode="External"/><Relationship Id="rId2" Type="http://schemas.openxmlformats.org/officeDocument/2006/relationships/hyperlink" Target="file:///\\10.51.11.38\T$\SQL_BACKUP\CUTOVER_EDC\mishpat_B4.bak" TargetMode="External"/><Relationship Id="rId1" Type="http://schemas.openxmlformats.org/officeDocument/2006/relationships/hyperlink" Target="file:///\\10.51.11.38\T$\SQL_BACKUP\CUTOVER_EDC\MFREPORT_B4.bak" TargetMode="External"/><Relationship Id="rId6" Type="http://schemas.openxmlformats.org/officeDocument/2006/relationships/hyperlink" Target="file:///\\172.25.20.15\Q$\SQLBACKUP\CUTOVER_IDC\LaborCourt_backup_B4.bak" TargetMode="External"/><Relationship Id="rId5" Type="http://schemas.openxmlformats.org/officeDocument/2006/relationships/hyperlink" Target="file:///\\10.51.11.38\T$\SQL_BACKUP\CUTOVER_EDC\SBO-COMMON_B4.bak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file:///\\10.51.11.38\T$\SQL_BACKUP\CUTOVER_EDC\NGCS_INFRASTRUCTURE_B4.bak" TargetMode="External"/><Relationship Id="rId9" Type="http://schemas.openxmlformats.org/officeDocument/2006/relationships/hyperlink" Target="file:///\\10.51.11.38\T$\SQL_BACKUP\CUTOVER_EDC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file:///\\10.51.10.185\synctoaws" TargetMode="External"/><Relationship Id="rId1" Type="http://schemas.openxmlformats.org/officeDocument/2006/relationships/hyperlink" Target="file:///\\10.51.10.185\synctoaws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536697260391.signin.aws.amazon.com/console" TargetMode="External"/><Relationship Id="rId1" Type="http://schemas.openxmlformats.org/officeDocument/2006/relationships/hyperlink" Target="mailto:netcourt-aws-private@court.gov.i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file:///\\10.51.11.217\L$\yael\girsa\DB\" TargetMode="External"/><Relationship Id="rId1" Type="http://schemas.openxmlformats.org/officeDocument/2006/relationships/hyperlink" Target="file:///\\192.168.11.19\L$\Yael\Girsa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C5E0-42A1-4B9E-8296-F79DAA929C0A}">
  <sheetPr codeName="Sheet1">
    <tabColor rgb="FFFF0000"/>
  </sheetPr>
  <dimension ref="A1:Q79"/>
  <sheetViews>
    <sheetView tabSelected="1" zoomScale="90" zoomScaleNormal="90" workbookViewId="0">
      <pane ySplit="1" topLeftCell="A43" activePane="bottomLeft" state="frozen"/>
      <selection pane="bottomLeft" activeCell="C55" sqref="C55"/>
    </sheetView>
  </sheetViews>
  <sheetFormatPr defaultRowHeight="14.5"/>
  <cols>
    <col min="1" max="1" width="5" style="6" customWidth="1"/>
    <col min="2" max="2" width="22.54296875" customWidth="1"/>
    <col min="3" max="3" width="40.7265625" customWidth="1"/>
    <col min="4" max="4" width="13.81640625" customWidth="1"/>
    <col min="5" max="5" width="12.1796875" style="1" customWidth="1"/>
    <col min="6" max="6" width="9.54296875" style="1" customWidth="1"/>
    <col min="7" max="7" width="28.7265625" style="1" customWidth="1"/>
    <col min="8" max="8" width="28.7265625" customWidth="1"/>
    <col min="9" max="9" width="10.26953125" customWidth="1"/>
    <col min="10" max="10" width="19.7265625" customWidth="1"/>
    <col min="11" max="11" width="10.26953125" style="15" customWidth="1"/>
    <col min="12" max="12" width="17.1796875" style="15" customWidth="1"/>
    <col min="13" max="13" width="19.81640625" style="15" customWidth="1"/>
    <col min="14" max="14" width="5.81640625" style="18" customWidth="1"/>
    <col min="15" max="15" width="25.54296875" customWidth="1"/>
    <col min="16" max="16" width="20.81640625" customWidth="1"/>
    <col min="17" max="17" width="19.54296875" customWidth="1"/>
  </cols>
  <sheetData>
    <row r="1" spans="2:17" ht="19" thickBot="1">
      <c r="B1" s="3" t="s">
        <v>123</v>
      </c>
      <c r="C1" s="3" t="s">
        <v>155</v>
      </c>
      <c r="D1" s="3" t="s">
        <v>21</v>
      </c>
      <c r="E1" s="3" t="s">
        <v>20</v>
      </c>
      <c r="F1" s="3" t="s">
        <v>51</v>
      </c>
      <c r="G1" s="3" t="s">
        <v>189</v>
      </c>
      <c r="H1" s="3" t="s">
        <v>22</v>
      </c>
      <c r="I1" s="3" t="s">
        <v>23</v>
      </c>
      <c r="J1" s="23" t="s">
        <v>24</v>
      </c>
      <c r="K1" s="44"/>
      <c r="L1" s="44"/>
      <c r="M1" s="44" t="s">
        <v>134</v>
      </c>
      <c r="N1" s="16"/>
    </row>
    <row r="2" spans="2:17" ht="16" thickBot="1">
      <c r="B2" s="521" t="s">
        <v>1</v>
      </c>
      <c r="C2" s="522"/>
      <c r="D2" s="522"/>
      <c r="E2" s="522"/>
      <c r="F2" s="522"/>
      <c r="G2" s="522"/>
      <c r="H2" s="522"/>
      <c r="I2" s="522"/>
      <c r="J2" s="523"/>
      <c r="K2" s="41"/>
      <c r="L2" s="42"/>
      <c r="M2" s="43"/>
      <c r="N2" s="17"/>
    </row>
    <row r="3" spans="2:17" ht="15" thickBot="1">
      <c r="B3" s="72" t="s">
        <v>0</v>
      </c>
      <c r="C3" s="4" t="s">
        <v>75</v>
      </c>
      <c r="D3" s="4" t="s">
        <v>76</v>
      </c>
      <c r="E3" s="9" t="s">
        <v>45</v>
      </c>
      <c r="F3" s="9">
        <v>2016</v>
      </c>
      <c r="G3" s="9" t="s">
        <v>183</v>
      </c>
      <c r="H3" s="2" t="s">
        <v>46</v>
      </c>
      <c r="I3" s="4"/>
      <c r="J3" s="24" t="s">
        <v>1125</v>
      </c>
      <c r="K3" s="39"/>
      <c r="L3" s="39"/>
      <c r="M3" s="39"/>
      <c r="O3" s="11" t="s">
        <v>71</v>
      </c>
    </row>
    <row r="4" spans="2:17">
      <c r="B4" s="72" t="s">
        <v>1158</v>
      </c>
      <c r="C4" s="4" t="s">
        <v>1159</v>
      </c>
      <c r="D4" s="4" t="s">
        <v>1160</v>
      </c>
      <c r="E4" s="9" t="s">
        <v>45</v>
      </c>
      <c r="F4" s="10">
        <v>2016</v>
      </c>
      <c r="G4" s="9" t="s">
        <v>1163</v>
      </c>
      <c r="H4" s="2" t="s">
        <v>1161</v>
      </c>
      <c r="I4" s="4"/>
      <c r="J4" t="s">
        <v>1122</v>
      </c>
      <c r="K4" s="39"/>
      <c r="L4" s="39"/>
      <c r="M4" s="39"/>
      <c r="O4" s="370"/>
    </row>
    <row r="5" spans="2:17">
      <c r="B5" s="82" t="s">
        <v>2</v>
      </c>
      <c r="C5" s="82" t="s">
        <v>2</v>
      </c>
      <c r="D5" s="87" t="s">
        <v>57</v>
      </c>
      <c r="E5" s="84" t="s">
        <v>45</v>
      </c>
      <c r="F5" s="84"/>
      <c r="G5" s="84"/>
      <c r="H5" s="82" t="s">
        <v>46</v>
      </c>
      <c r="I5" s="82"/>
      <c r="J5" s="85"/>
      <c r="K5" s="86"/>
      <c r="L5" s="86"/>
      <c r="M5" s="86"/>
      <c r="O5" t="s">
        <v>61</v>
      </c>
      <c r="P5" t="s">
        <v>62</v>
      </c>
    </row>
    <row r="6" spans="2:17">
      <c r="B6" s="204" t="s">
        <v>3</v>
      </c>
      <c r="C6" s="204" t="s">
        <v>3</v>
      </c>
      <c r="D6" s="347" t="s">
        <v>1082</v>
      </c>
      <c r="E6" s="348" t="s">
        <v>45</v>
      </c>
      <c r="F6" s="9">
        <v>2016</v>
      </c>
      <c r="G6" s="348" t="s">
        <v>325</v>
      </c>
      <c r="H6" s="204"/>
      <c r="I6" s="204"/>
      <c r="J6" s="349"/>
      <c r="K6" s="350"/>
      <c r="L6" s="350"/>
      <c r="M6" s="350"/>
      <c r="O6" t="s">
        <v>63</v>
      </c>
      <c r="P6" t="s">
        <v>64</v>
      </c>
    </row>
    <row r="7" spans="2:17">
      <c r="B7" s="133" t="s">
        <v>4</v>
      </c>
      <c r="C7" s="133" t="s">
        <v>4</v>
      </c>
      <c r="D7" s="4" t="s">
        <v>324</v>
      </c>
      <c r="E7" s="9" t="s">
        <v>45</v>
      </c>
      <c r="F7" s="9">
        <v>2016</v>
      </c>
      <c r="G7" s="9" t="s">
        <v>1162</v>
      </c>
      <c r="H7" s="2"/>
      <c r="I7" s="2"/>
      <c r="J7" s="25"/>
      <c r="K7" s="26"/>
      <c r="L7" s="26"/>
      <c r="M7" s="26"/>
      <c r="O7" t="s">
        <v>93</v>
      </c>
      <c r="P7" t="s">
        <v>65</v>
      </c>
    </row>
    <row r="8" spans="2:17">
      <c r="B8" s="2" t="s">
        <v>5</v>
      </c>
      <c r="C8" s="2" t="s">
        <v>5</v>
      </c>
      <c r="D8" s="4" t="s">
        <v>79</v>
      </c>
      <c r="E8" s="9" t="s">
        <v>45</v>
      </c>
      <c r="F8" s="9">
        <v>2016</v>
      </c>
      <c r="G8" s="9" t="s">
        <v>186</v>
      </c>
      <c r="H8" s="2" t="s">
        <v>109</v>
      </c>
      <c r="I8" s="2"/>
      <c r="J8" s="25"/>
      <c r="K8" s="26"/>
      <c r="L8" s="26"/>
      <c r="M8" s="26"/>
      <c r="O8" t="s">
        <v>66</v>
      </c>
      <c r="P8" t="s">
        <v>67</v>
      </c>
      <c r="Q8" t="s">
        <v>203</v>
      </c>
    </row>
    <row r="9" spans="2:17">
      <c r="B9" s="2" t="s">
        <v>1737</v>
      </c>
      <c r="C9" s="2" t="s">
        <v>1737</v>
      </c>
      <c r="D9" s="4" t="s">
        <v>1738</v>
      </c>
      <c r="E9" s="9" t="s">
        <v>45</v>
      </c>
      <c r="F9" s="9">
        <v>2017</v>
      </c>
      <c r="G9" s="9"/>
      <c r="H9" s="2" t="s">
        <v>109</v>
      </c>
      <c r="I9" s="2"/>
      <c r="J9" s="25"/>
      <c r="K9" s="26"/>
      <c r="L9" s="26"/>
      <c r="M9" s="26"/>
    </row>
    <row r="10" spans="2:17">
      <c r="B10" s="2" t="s">
        <v>6</v>
      </c>
      <c r="C10" s="2" t="s">
        <v>6</v>
      </c>
      <c r="D10" s="4" t="s">
        <v>78</v>
      </c>
      <c r="E10" s="9" t="s">
        <v>45</v>
      </c>
      <c r="F10" s="9">
        <v>2019</v>
      </c>
      <c r="G10" s="9" t="s">
        <v>317</v>
      </c>
      <c r="H10" s="2" t="s">
        <v>1362</v>
      </c>
      <c r="I10" s="2"/>
      <c r="J10" s="25"/>
      <c r="K10" s="26"/>
      <c r="L10" s="26"/>
      <c r="M10" s="26"/>
      <c r="O10" t="s">
        <v>68</v>
      </c>
      <c r="P10" t="s">
        <v>69</v>
      </c>
    </row>
    <row r="11" spans="2:17">
      <c r="B11" s="82" t="s">
        <v>7</v>
      </c>
      <c r="C11" s="87" t="s">
        <v>54</v>
      </c>
      <c r="D11" s="87" t="s">
        <v>57</v>
      </c>
      <c r="E11" s="84" t="s">
        <v>45</v>
      </c>
      <c r="F11" s="84"/>
      <c r="G11" s="84"/>
      <c r="H11" s="82"/>
      <c r="I11" s="82"/>
      <c r="J11" s="85"/>
      <c r="K11" s="86"/>
      <c r="L11" s="86"/>
      <c r="M11" s="86"/>
    </row>
    <row r="12" spans="2:17">
      <c r="B12" s="93" t="s">
        <v>8</v>
      </c>
      <c r="C12" s="4" t="s">
        <v>8</v>
      </c>
      <c r="D12" s="4" t="s">
        <v>77</v>
      </c>
      <c r="E12" s="9" t="s">
        <v>45</v>
      </c>
      <c r="F12" s="9">
        <v>2016</v>
      </c>
      <c r="G12" s="9" t="s">
        <v>188</v>
      </c>
      <c r="H12" s="2" t="s">
        <v>74</v>
      </c>
      <c r="I12" s="2"/>
      <c r="J12" s="25"/>
      <c r="K12" s="26"/>
      <c r="L12" s="26"/>
      <c r="M12" s="26"/>
    </row>
    <row r="13" spans="2:17">
      <c r="B13" s="82" t="s">
        <v>9</v>
      </c>
      <c r="C13" s="87" t="s">
        <v>54</v>
      </c>
      <c r="D13" s="87" t="s">
        <v>57</v>
      </c>
      <c r="E13" s="84" t="s">
        <v>45</v>
      </c>
      <c r="F13" s="84"/>
      <c r="G13" s="84"/>
      <c r="H13" s="82"/>
      <c r="I13" s="82"/>
      <c r="J13" s="85"/>
      <c r="K13" s="86"/>
      <c r="L13" s="86"/>
      <c r="M13" s="86"/>
    </row>
    <row r="14" spans="2:17" ht="15" thickBot="1">
      <c r="B14" s="82" t="s">
        <v>10</v>
      </c>
      <c r="C14" s="87" t="s">
        <v>54</v>
      </c>
      <c r="D14" s="87" t="s">
        <v>57</v>
      </c>
      <c r="E14" s="84" t="s">
        <v>45</v>
      </c>
      <c r="F14" s="84"/>
      <c r="G14" s="84"/>
      <c r="H14" s="82"/>
      <c r="I14" s="82"/>
      <c r="J14" s="85"/>
      <c r="K14" s="86"/>
      <c r="L14" s="86"/>
      <c r="M14" s="86"/>
    </row>
    <row r="15" spans="2:17" ht="15" thickBot="1">
      <c r="B15" s="2" t="s">
        <v>11</v>
      </c>
      <c r="C15" s="4" t="s">
        <v>54</v>
      </c>
      <c r="D15" s="4" t="s">
        <v>81</v>
      </c>
      <c r="E15" s="9" t="s">
        <v>45</v>
      </c>
      <c r="F15" s="9">
        <v>2016</v>
      </c>
      <c r="G15" s="9" t="s">
        <v>186</v>
      </c>
      <c r="H15" s="2" t="s">
        <v>72</v>
      </c>
      <c r="I15" s="2"/>
      <c r="J15" s="25"/>
      <c r="K15" s="26"/>
      <c r="L15" s="26"/>
      <c r="M15" s="26"/>
      <c r="O15" s="11" t="s">
        <v>70</v>
      </c>
    </row>
    <row r="16" spans="2:17">
      <c r="B16" s="2" t="s">
        <v>12</v>
      </c>
      <c r="C16" s="4" t="s">
        <v>54</v>
      </c>
      <c r="D16" s="4" t="s">
        <v>80</v>
      </c>
      <c r="E16" s="9" t="s">
        <v>45</v>
      </c>
      <c r="F16" s="9">
        <v>2016</v>
      </c>
      <c r="G16" s="9" t="s">
        <v>186</v>
      </c>
      <c r="H16" s="2" t="s">
        <v>73</v>
      </c>
      <c r="I16" s="2"/>
      <c r="J16" s="25"/>
      <c r="K16" s="26"/>
      <c r="L16" s="26"/>
      <c r="M16" s="26"/>
      <c r="O16" t="s">
        <v>84</v>
      </c>
      <c r="P16" t="s">
        <v>85</v>
      </c>
    </row>
    <row r="17" spans="1:16">
      <c r="B17" s="2" t="s">
        <v>13</v>
      </c>
      <c r="C17" s="4" t="s">
        <v>54</v>
      </c>
      <c r="D17" s="4" t="s">
        <v>121</v>
      </c>
      <c r="E17" s="9" t="s">
        <v>45</v>
      </c>
      <c r="F17" s="9">
        <v>2016</v>
      </c>
      <c r="G17" s="9" t="s">
        <v>186</v>
      </c>
      <c r="H17" s="2"/>
      <c r="I17" s="2"/>
      <c r="J17" s="25"/>
      <c r="K17" s="26"/>
      <c r="L17" s="26"/>
      <c r="M17" s="26"/>
      <c r="O17" t="s">
        <v>87</v>
      </c>
      <c r="P17" t="s">
        <v>86</v>
      </c>
    </row>
    <row r="18" spans="1:16">
      <c r="B18" s="82" t="s">
        <v>14</v>
      </c>
      <c r="C18" s="87" t="s">
        <v>54</v>
      </c>
      <c r="D18" s="87" t="s">
        <v>57</v>
      </c>
      <c r="E18" s="84" t="s">
        <v>45</v>
      </c>
      <c r="F18" s="84"/>
      <c r="G18" s="84"/>
      <c r="H18" s="82"/>
      <c r="I18" s="82"/>
      <c r="J18" s="85"/>
      <c r="K18" s="86"/>
      <c r="L18" s="86"/>
      <c r="M18" s="86"/>
      <c r="O18" t="s">
        <v>88</v>
      </c>
      <c r="P18" t="s">
        <v>89</v>
      </c>
    </row>
    <row r="19" spans="1:16">
      <c r="A19" s="278"/>
      <c r="B19" s="2" t="s">
        <v>15</v>
      </c>
      <c r="C19" s="2" t="s">
        <v>231</v>
      </c>
      <c r="D19" s="4" t="s">
        <v>232</v>
      </c>
      <c r="E19" s="9" t="s">
        <v>45</v>
      </c>
      <c r="F19" s="9">
        <v>2017</v>
      </c>
      <c r="G19" s="274"/>
      <c r="H19" s="83"/>
      <c r="I19" s="83"/>
      <c r="J19" s="275"/>
      <c r="K19" s="276"/>
      <c r="L19" s="276"/>
      <c r="M19" s="276"/>
      <c r="O19" t="s">
        <v>90</v>
      </c>
      <c r="P19" t="s">
        <v>91</v>
      </c>
    </row>
    <row r="20" spans="1:16">
      <c r="B20" s="82" t="s">
        <v>16</v>
      </c>
      <c r="C20" s="87" t="s">
        <v>54</v>
      </c>
      <c r="D20" s="87" t="s">
        <v>57</v>
      </c>
      <c r="E20" s="84" t="s">
        <v>45</v>
      </c>
      <c r="F20" s="84"/>
      <c r="G20" s="84"/>
      <c r="H20" s="82"/>
      <c r="I20" s="82"/>
      <c r="J20" s="85"/>
      <c r="K20" s="86"/>
      <c r="L20" s="86"/>
      <c r="M20" s="86"/>
    </row>
    <row r="21" spans="1:16" s="105" customFormat="1">
      <c r="A21" s="373"/>
      <c r="B21" s="374" t="s">
        <v>17</v>
      </c>
      <c r="C21" s="374" t="s">
        <v>332</v>
      </c>
      <c r="D21" s="374" t="s">
        <v>83</v>
      </c>
      <c r="E21" s="375" t="s">
        <v>52</v>
      </c>
      <c r="F21" s="376">
        <v>2016</v>
      </c>
      <c r="G21" s="376" t="s">
        <v>333</v>
      </c>
      <c r="H21" s="133" t="s">
        <v>47</v>
      </c>
      <c r="I21" s="83"/>
      <c r="J21" s="275"/>
      <c r="K21" s="276"/>
      <c r="L21" s="276"/>
      <c r="M21" s="276"/>
      <c r="N21" s="277"/>
    </row>
    <row r="22" spans="1:16">
      <c r="A22" s="29"/>
      <c r="B22" s="71" t="s">
        <v>18</v>
      </c>
      <c r="C22" s="27" t="s">
        <v>568</v>
      </c>
      <c r="D22" s="27" t="s">
        <v>82</v>
      </c>
      <c r="E22" s="30" t="s">
        <v>52</v>
      </c>
      <c r="F22" s="9">
        <v>2019</v>
      </c>
      <c r="G22" s="9" t="s">
        <v>185</v>
      </c>
      <c r="H22" s="2" t="s">
        <v>47</v>
      </c>
      <c r="I22" s="2"/>
      <c r="J22" s="25" t="s">
        <v>1157</v>
      </c>
      <c r="K22" s="26"/>
      <c r="L22" s="26"/>
      <c r="M22" s="26"/>
    </row>
    <row r="23" spans="1:16">
      <c r="A23" s="29"/>
      <c r="B23" s="88" t="s">
        <v>19</v>
      </c>
      <c r="C23" s="82" t="s">
        <v>55</v>
      </c>
      <c r="D23" s="82" t="s">
        <v>56</v>
      </c>
      <c r="E23" s="84" t="s">
        <v>52</v>
      </c>
      <c r="F23" s="84"/>
      <c r="G23" s="84"/>
      <c r="H23" s="82" t="s">
        <v>110</v>
      </c>
      <c r="I23" s="88"/>
      <c r="J23" s="89" t="s">
        <v>111</v>
      </c>
      <c r="K23" s="86"/>
      <c r="L23" s="86"/>
      <c r="M23" s="86"/>
    </row>
    <row r="24" spans="1:16">
      <c r="A24" s="29"/>
      <c r="B24" s="28" t="s">
        <v>307</v>
      </c>
      <c r="C24" s="27" t="s">
        <v>1091</v>
      </c>
      <c r="D24" s="27" t="s">
        <v>308</v>
      </c>
      <c r="E24" s="30" t="s">
        <v>52</v>
      </c>
      <c r="F24" s="9">
        <v>2016</v>
      </c>
      <c r="G24" s="9" t="s">
        <v>325</v>
      </c>
      <c r="H24" s="2" t="s">
        <v>309</v>
      </c>
      <c r="I24" s="2"/>
      <c r="J24" s="25"/>
      <c r="K24" s="26"/>
      <c r="L24" s="26"/>
      <c r="M24" s="26"/>
    </row>
    <row r="25" spans="1:16">
      <c r="A25" s="29"/>
      <c r="B25" s="28" t="s">
        <v>305</v>
      </c>
      <c r="C25" s="27" t="s">
        <v>305</v>
      </c>
      <c r="D25" s="27" t="s">
        <v>306</v>
      </c>
      <c r="E25" s="30" t="s">
        <v>52</v>
      </c>
      <c r="F25" s="9">
        <v>2019</v>
      </c>
      <c r="G25" s="9" t="s">
        <v>184</v>
      </c>
      <c r="H25" s="2" t="s">
        <v>310</v>
      </c>
      <c r="I25" s="2"/>
      <c r="J25" s="25"/>
      <c r="K25" s="26"/>
      <c r="L25" s="26"/>
      <c r="M25" s="26"/>
    </row>
    <row r="26" spans="1:16">
      <c r="A26" s="79"/>
      <c r="B26" s="2" t="s">
        <v>153</v>
      </c>
      <c r="C26" s="4" t="s">
        <v>153</v>
      </c>
      <c r="D26" s="4" t="s">
        <v>154</v>
      </c>
      <c r="E26" s="9" t="s">
        <v>45</v>
      </c>
      <c r="F26" s="9">
        <v>2019</v>
      </c>
      <c r="G26" s="9" t="s">
        <v>184</v>
      </c>
      <c r="H26" s="2" t="s">
        <v>152</v>
      </c>
      <c r="I26" s="2"/>
      <c r="J26" s="25"/>
      <c r="K26" s="26"/>
      <c r="L26" s="26"/>
      <c r="M26" s="26"/>
    </row>
    <row r="27" spans="1:16">
      <c r="A27" s="79"/>
      <c r="B27" s="2" t="s">
        <v>153</v>
      </c>
      <c r="C27" s="8" t="s">
        <v>1086</v>
      </c>
      <c r="D27" s="4" t="s">
        <v>154</v>
      </c>
      <c r="E27" s="9" t="s">
        <v>45</v>
      </c>
      <c r="F27" s="9">
        <v>2016</v>
      </c>
      <c r="G27" s="9" t="s">
        <v>186</v>
      </c>
      <c r="H27" s="2" t="s">
        <v>152</v>
      </c>
      <c r="I27" s="2"/>
      <c r="J27" s="25"/>
      <c r="K27" s="38"/>
      <c r="L27" s="38"/>
      <c r="M27" s="38"/>
    </row>
    <row r="28" spans="1:16">
      <c r="A28" s="79"/>
      <c r="B28" s="400" t="s">
        <v>153</v>
      </c>
      <c r="C28" s="403" t="s">
        <v>187</v>
      </c>
      <c r="D28" s="404" t="s">
        <v>154</v>
      </c>
      <c r="E28" s="405" t="s">
        <v>45</v>
      </c>
      <c r="F28" s="406">
        <v>2016</v>
      </c>
      <c r="G28" s="406" t="s">
        <v>188</v>
      </c>
      <c r="H28" s="400" t="s">
        <v>152</v>
      </c>
      <c r="I28" s="400"/>
      <c r="J28" s="407"/>
      <c r="K28" s="408"/>
      <c r="L28" s="408"/>
      <c r="M28" s="408"/>
      <c r="O28" t="s">
        <v>211</v>
      </c>
    </row>
    <row r="29" spans="1:16">
      <c r="A29" s="79"/>
      <c r="B29" s="8" t="s">
        <v>345</v>
      </c>
      <c r="C29" s="8" t="s">
        <v>344</v>
      </c>
      <c r="D29" s="8" t="s">
        <v>343</v>
      </c>
      <c r="E29" s="1" t="s">
        <v>45</v>
      </c>
      <c r="K29" s="107"/>
      <c r="L29" s="108"/>
      <c r="M29" s="109"/>
    </row>
    <row r="30" spans="1:16">
      <c r="A30" s="371"/>
      <c r="B30" s="27" t="s">
        <v>1077</v>
      </c>
      <c r="C30" s="27" t="s">
        <v>1077</v>
      </c>
      <c r="D30" s="27" t="s">
        <v>1078</v>
      </c>
      <c r="E30" s="305" t="s">
        <v>52</v>
      </c>
      <c r="F30" s="10">
        <v>2019</v>
      </c>
      <c r="G30" s="10" t="s">
        <v>1081</v>
      </c>
      <c r="H30" s="2" t="s">
        <v>1079</v>
      </c>
      <c r="I30" s="2"/>
      <c r="J30" s="2"/>
      <c r="K30" s="26"/>
      <c r="L30" s="26"/>
      <c r="M30" s="26" t="s">
        <v>1080</v>
      </c>
    </row>
    <row r="31" spans="1:16">
      <c r="A31" s="371"/>
      <c r="B31" s="204"/>
      <c r="C31" s="204"/>
      <c r="D31" s="2" t="s">
        <v>371</v>
      </c>
      <c r="E31" s="10" t="s">
        <v>45</v>
      </c>
      <c r="F31" s="10"/>
      <c r="G31" s="10"/>
      <c r="H31" s="2" t="s">
        <v>372</v>
      </c>
      <c r="I31" s="2"/>
      <c r="J31" s="2"/>
      <c r="K31" s="26"/>
      <c r="L31" s="26"/>
      <c r="M31" s="26"/>
    </row>
    <row r="32" spans="1:16">
      <c r="A32" s="371"/>
      <c r="B32" s="204" t="s">
        <v>1084</v>
      </c>
      <c r="C32" s="204"/>
      <c r="D32" s="204" t="s">
        <v>1085</v>
      </c>
      <c r="E32" s="372" t="s">
        <v>45</v>
      </c>
      <c r="F32" s="10"/>
      <c r="G32" s="10"/>
      <c r="H32" s="2"/>
      <c r="I32" s="2"/>
      <c r="J32" s="2"/>
      <c r="K32" s="26"/>
      <c r="L32" s="26"/>
      <c r="M32" s="26"/>
    </row>
    <row r="33" spans="1:15">
      <c r="A33" s="371"/>
      <c r="B33" s="400" t="s">
        <v>1121</v>
      </c>
      <c r="C33" s="400"/>
      <c r="D33" s="400" t="s">
        <v>1120</v>
      </c>
      <c r="E33" s="401" t="s">
        <v>45</v>
      </c>
      <c r="F33" s="401">
        <v>2019</v>
      </c>
      <c r="G33" s="401"/>
      <c r="H33" s="401">
        <v>2019</v>
      </c>
      <c r="I33" s="400"/>
      <c r="J33" s="400" t="s">
        <v>1123</v>
      </c>
      <c r="K33" s="402"/>
      <c r="L33" s="402"/>
      <c r="M33" s="402"/>
    </row>
    <row r="34" spans="1:15" ht="15" thickBot="1">
      <c r="A34" s="79"/>
      <c r="B34" t="s">
        <v>1640</v>
      </c>
      <c r="C34" t="s">
        <v>1640</v>
      </c>
      <c r="D34" t="s">
        <v>1641</v>
      </c>
      <c r="E34" s="1" t="s">
        <v>45</v>
      </c>
      <c r="F34" s="1">
        <v>2016</v>
      </c>
      <c r="K34" s="107"/>
      <c r="L34" s="108"/>
      <c r="M34" s="109"/>
    </row>
    <row r="35" spans="1:15" ht="16" thickBot="1">
      <c r="B35" s="524" t="s">
        <v>25</v>
      </c>
      <c r="C35" s="525"/>
      <c r="D35" s="525"/>
      <c r="E35" s="525"/>
      <c r="F35" s="525"/>
      <c r="G35" s="525"/>
      <c r="H35" s="525"/>
      <c r="I35" s="525"/>
      <c r="J35" s="525"/>
      <c r="K35" s="41"/>
      <c r="L35" s="42"/>
      <c r="M35" s="43"/>
      <c r="N35" s="17"/>
      <c r="O35" s="57" t="s">
        <v>210</v>
      </c>
    </row>
    <row r="36" spans="1:15">
      <c r="B36" s="2" t="s">
        <v>26</v>
      </c>
      <c r="C36" s="2" t="s">
        <v>53</v>
      </c>
      <c r="D36" s="2" t="s">
        <v>160</v>
      </c>
      <c r="E36" s="9" t="s">
        <v>45</v>
      </c>
      <c r="F36" s="9">
        <v>2016</v>
      </c>
      <c r="G36" s="26" t="s">
        <v>184</v>
      </c>
      <c r="H36" s="2" t="s">
        <v>72</v>
      </c>
      <c r="I36" s="2"/>
      <c r="J36" s="25"/>
      <c r="K36" s="39"/>
      <c r="L36" s="39"/>
      <c r="M36" s="39"/>
    </row>
    <row r="37" spans="1:15">
      <c r="B37" s="64" t="s">
        <v>27</v>
      </c>
      <c r="C37" s="2" t="s">
        <v>161</v>
      </c>
      <c r="D37" s="2" t="s">
        <v>135</v>
      </c>
      <c r="E37" s="9" t="s">
        <v>45</v>
      </c>
      <c r="F37" s="9">
        <v>2016</v>
      </c>
      <c r="G37" s="9" t="s">
        <v>186</v>
      </c>
      <c r="H37" s="2" t="s">
        <v>46</v>
      </c>
      <c r="I37" s="2"/>
      <c r="J37" s="25" t="s">
        <v>1124</v>
      </c>
      <c r="K37" s="26"/>
      <c r="L37" s="26"/>
      <c r="M37" s="26"/>
    </row>
    <row r="38" spans="1:15">
      <c r="B38" s="2" t="s">
        <v>28</v>
      </c>
      <c r="C38" s="2" t="s">
        <v>53</v>
      </c>
      <c r="D38" s="2" t="s">
        <v>318</v>
      </c>
      <c r="E38" s="9" t="s">
        <v>45</v>
      </c>
      <c r="F38" s="9">
        <v>2016</v>
      </c>
      <c r="G38" s="9" t="s">
        <v>186</v>
      </c>
      <c r="H38" s="2" t="s">
        <v>109</v>
      </c>
      <c r="I38" s="2"/>
      <c r="J38" s="25"/>
      <c r="K38" s="26"/>
      <c r="L38" s="26"/>
      <c r="M38" s="26"/>
    </row>
    <row r="39" spans="1:15">
      <c r="B39" s="2" t="s">
        <v>29</v>
      </c>
      <c r="C39" s="2" t="s">
        <v>53</v>
      </c>
      <c r="D39" s="2" t="s">
        <v>319</v>
      </c>
      <c r="E39" s="9" t="s">
        <v>45</v>
      </c>
      <c r="F39" s="9">
        <v>2019</v>
      </c>
      <c r="G39" s="9" t="s">
        <v>317</v>
      </c>
      <c r="H39" s="2" t="s">
        <v>320</v>
      </c>
      <c r="I39" s="2"/>
      <c r="J39" s="25"/>
      <c r="K39" s="26"/>
      <c r="L39" s="26"/>
      <c r="M39" s="26"/>
    </row>
    <row r="40" spans="1:15">
      <c r="A40" s="32"/>
      <c r="B40" s="508" t="s">
        <v>30</v>
      </c>
      <c r="C40" s="509" t="s">
        <v>53</v>
      </c>
      <c r="D40" s="509" t="s">
        <v>57</v>
      </c>
      <c r="E40" s="510" t="s">
        <v>45</v>
      </c>
      <c r="F40" s="510"/>
      <c r="G40" s="510"/>
      <c r="H40" s="509" t="s">
        <v>74</v>
      </c>
      <c r="I40" s="509"/>
      <c r="J40" s="511"/>
      <c r="K40" s="512"/>
      <c r="L40" s="512"/>
      <c r="M40" s="513"/>
      <c r="O40" s="13"/>
    </row>
    <row r="41" spans="1:15">
      <c r="A41" s="32"/>
      <c r="B41" s="508" t="s">
        <v>31</v>
      </c>
      <c r="C41" s="509" t="s">
        <v>53</v>
      </c>
      <c r="D41" s="509" t="s">
        <v>57</v>
      </c>
      <c r="E41" s="510" t="s">
        <v>45</v>
      </c>
      <c r="F41" s="510"/>
      <c r="G41" s="510"/>
      <c r="H41" s="509" t="s">
        <v>72</v>
      </c>
      <c r="I41" s="509"/>
      <c r="J41" s="511"/>
      <c r="K41" s="512"/>
      <c r="L41" s="512"/>
      <c r="M41" s="513"/>
      <c r="O41" s="13"/>
    </row>
    <row r="42" spans="1:15">
      <c r="B42" s="133" t="s">
        <v>32</v>
      </c>
      <c r="C42" s="2" t="s">
        <v>53</v>
      </c>
      <c r="D42" s="2" t="s">
        <v>321</v>
      </c>
      <c r="E42" s="9" t="s">
        <v>45</v>
      </c>
      <c r="F42" s="9"/>
      <c r="G42" s="9"/>
      <c r="H42" s="2" t="s">
        <v>73</v>
      </c>
      <c r="I42" s="2"/>
      <c r="J42" s="25"/>
      <c r="K42" s="26"/>
      <c r="L42" s="26"/>
      <c r="M42" s="26"/>
    </row>
    <row r="43" spans="1:15">
      <c r="B43" s="2" t="s">
        <v>124</v>
      </c>
      <c r="C43" s="2" t="s">
        <v>53</v>
      </c>
      <c r="D43" s="2" t="s">
        <v>322</v>
      </c>
      <c r="E43" s="9" t="s">
        <v>45</v>
      </c>
      <c r="F43" s="9">
        <v>2016</v>
      </c>
      <c r="G43" s="9" t="s">
        <v>186</v>
      </c>
      <c r="H43" s="2" t="s">
        <v>323</v>
      </c>
      <c r="I43" s="2"/>
      <c r="J43" s="25"/>
      <c r="K43" s="38"/>
      <c r="L43" s="38"/>
      <c r="M43" s="38"/>
    </row>
    <row r="44" spans="1:15">
      <c r="B44" s="2" t="s">
        <v>535</v>
      </c>
      <c r="C44" s="2"/>
      <c r="D44" s="2" t="s">
        <v>534</v>
      </c>
      <c r="E44" s="9" t="s">
        <v>45</v>
      </c>
      <c r="K44" s="107"/>
      <c r="L44" s="108"/>
      <c r="M44" s="109"/>
    </row>
    <row r="45" spans="1:15">
      <c r="B45" t="s">
        <v>610</v>
      </c>
      <c r="D45" s="8" t="s">
        <v>608</v>
      </c>
      <c r="E45" s="9" t="s">
        <v>45</v>
      </c>
      <c r="F45" s="1">
        <v>2016</v>
      </c>
      <c r="G45" s="1" t="s">
        <v>612</v>
      </c>
      <c r="H45" t="s">
        <v>609</v>
      </c>
      <c r="K45" s="107"/>
      <c r="L45" s="108"/>
      <c r="M45" s="109"/>
    </row>
    <row r="46" spans="1:15">
      <c r="B46" s="2" t="s">
        <v>535</v>
      </c>
      <c r="C46" s="2"/>
      <c r="D46" s="2" t="s">
        <v>534</v>
      </c>
      <c r="K46" s="107"/>
      <c r="L46" s="108"/>
      <c r="M46" s="109"/>
    </row>
    <row r="47" spans="1:15" ht="15" thickBot="1">
      <c r="K47" s="107"/>
      <c r="L47" s="108"/>
      <c r="M47" s="109"/>
    </row>
    <row r="48" spans="1:15" ht="16" thickBot="1">
      <c r="B48" s="524" t="s">
        <v>33</v>
      </c>
      <c r="C48" s="525"/>
      <c r="D48" s="525"/>
      <c r="E48" s="525"/>
      <c r="F48" s="525"/>
      <c r="G48" s="525"/>
      <c r="H48" s="525"/>
      <c r="I48" s="525"/>
      <c r="J48" s="525"/>
      <c r="K48" s="41"/>
      <c r="L48" s="42"/>
      <c r="M48" s="43"/>
      <c r="N48" s="17"/>
    </row>
    <row r="49" spans="1:16">
      <c r="A49" s="32"/>
      <c r="B49" s="508" t="s">
        <v>34</v>
      </c>
      <c r="C49" s="509" t="s">
        <v>1083</v>
      </c>
      <c r="D49" s="509" t="s">
        <v>42</v>
      </c>
      <c r="E49" s="510" t="s">
        <v>43</v>
      </c>
      <c r="F49" s="510">
        <v>2016</v>
      </c>
      <c r="G49" s="510" t="s">
        <v>184</v>
      </c>
      <c r="H49" s="509" t="s">
        <v>46</v>
      </c>
      <c r="I49" s="509"/>
      <c r="J49" s="511"/>
      <c r="K49" s="512"/>
      <c r="L49" s="512"/>
      <c r="M49" s="513">
        <f>L48+M48</f>
        <v>0</v>
      </c>
      <c r="O49" s="13" t="s">
        <v>94</v>
      </c>
    </row>
    <row r="50" spans="1:16">
      <c r="A50" s="32"/>
      <c r="B50" s="73" t="s">
        <v>312</v>
      </c>
      <c r="C50" s="33" t="s">
        <v>1013</v>
      </c>
      <c r="D50" s="33" t="s">
        <v>304</v>
      </c>
      <c r="E50" s="26" t="s">
        <v>43</v>
      </c>
      <c r="F50" s="26">
        <v>2022</v>
      </c>
      <c r="G50" s="26" t="s">
        <v>184</v>
      </c>
      <c r="H50" s="33" t="s">
        <v>311</v>
      </c>
      <c r="I50" s="33"/>
      <c r="J50" s="34"/>
      <c r="K50" s="40"/>
      <c r="L50" s="40"/>
      <c r="M50" s="4"/>
      <c r="O50" s="33" t="s">
        <v>1013</v>
      </c>
    </row>
    <row r="51" spans="1:16">
      <c r="A51" s="32"/>
      <c r="B51" s="508" t="s">
        <v>35</v>
      </c>
      <c r="C51" s="509" t="s">
        <v>59</v>
      </c>
      <c r="D51" s="509" t="s">
        <v>132</v>
      </c>
      <c r="E51" s="510" t="s">
        <v>43</v>
      </c>
      <c r="F51" s="510">
        <v>2012</v>
      </c>
      <c r="G51" s="510"/>
      <c r="H51" s="509"/>
      <c r="I51" s="509"/>
      <c r="J51" s="511"/>
      <c r="K51" s="512"/>
      <c r="L51" s="512"/>
      <c r="M51" s="513"/>
      <c r="O51" s="13" t="s">
        <v>92</v>
      </c>
    </row>
    <row r="52" spans="1:16" ht="15.5">
      <c r="A52" s="32"/>
      <c r="B52" s="90" t="s">
        <v>36</v>
      </c>
      <c r="C52" s="33" t="s">
        <v>1533</v>
      </c>
      <c r="D52" s="33" t="s">
        <v>127</v>
      </c>
      <c r="E52" s="26" t="s">
        <v>43</v>
      </c>
      <c r="F52" s="26">
        <v>2016</v>
      </c>
      <c r="G52" s="26"/>
      <c r="H52" s="33" t="s">
        <v>109</v>
      </c>
      <c r="I52" s="33"/>
      <c r="J52" s="34"/>
      <c r="K52" s="26"/>
      <c r="L52" s="26"/>
      <c r="M52" s="26"/>
      <c r="O52" t="s">
        <v>95</v>
      </c>
    </row>
    <row r="53" spans="1:16">
      <c r="A53" s="32"/>
      <c r="B53" s="90" t="s">
        <v>37</v>
      </c>
      <c r="C53" s="33" t="s">
        <v>59</v>
      </c>
      <c r="D53" s="33" t="s">
        <v>128</v>
      </c>
      <c r="E53" s="26" t="s">
        <v>43</v>
      </c>
      <c r="F53" s="26">
        <v>2019</v>
      </c>
      <c r="G53" s="26"/>
      <c r="H53" s="33" t="s">
        <v>109</v>
      </c>
      <c r="I53" s="33"/>
      <c r="J53" s="34"/>
      <c r="K53" s="26"/>
      <c r="L53" s="26"/>
      <c r="M53" s="26"/>
    </row>
    <row r="54" spans="1:16">
      <c r="A54" s="32"/>
      <c r="B54" s="91" t="s">
        <v>38</v>
      </c>
      <c r="C54" s="33" t="s">
        <v>133</v>
      </c>
      <c r="D54" s="33" t="s">
        <v>126</v>
      </c>
      <c r="E54" s="26" t="s">
        <v>43</v>
      </c>
      <c r="F54" s="26">
        <v>2019</v>
      </c>
      <c r="G54" s="26"/>
      <c r="H54" s="33" t="s">
        <v>74</v>
      </c>
      <c r="I54" s="33"/>
      <c r="J54" s="34"/>
      <c r="K54" s="26"/>
      <c r="L54" s="26"/>
      <c r="M54" s="26"/>
      <c r="O54" s="14" t="s">
        <v>96</v>
      </c>
      <c r="P54" s="14" t="s">
        <v>97</v>
      </c>
    </row>
    <row r="55" spans="1:16">
      <c r="A55" s="32"/>
      <c r="B55" s="90" t="s">
        <v>38</v>
      </c>
      <c r="C55" s="33" t="s">
        <v>133</v>
      </c>
      <c r="D55" s="33"/>
      <c r="E55" s="26" t="s">
        <v>43</v>
      </c>
      <c r="F55" s="26">
        <v>2016</v>
      </c>
      <c r="G55" s="26"/>
      <c r="H55" s="33"/>
      <c r="I55" s="33"/>
      <c r="J55" s="34"/>
      <c r="K55" s="26"/>
      <c r="L55" s="26"/>
      <c r="M55" s="26"/>
      <c r="O55" s="14"/>
      <c r="P55" s="14"/>
    </row>
    <row r="56" spans="1:16">
      <c r="A56" s="32"/>
      <c r="B56" s="33" t="s">
        <v>39</v>
      </c>
      <c r="C56" s="33" t="s">
        <v>39</v>
      </c>
      <c r="D56" s="33" t="s">
        <v>129</v>
      </c>
      <c r="E56" s="26" t="s">
        <v>43</v>
      </c>
      <c r="F56" s="26">
        <v>2016</v>
      </c>
      <c r="G56" s="26" t="s">
        <v>184</v>
      </c>
      <c r="H56" s="33" t="s">
        <v>72</v>
      </c>
      <c r="I56" s="33"/>
      <c r="J56" s="34" t="s">
        <v>157</v>
      </c>
      <c r="K56" s="26"/>
      <c r="L56" s="26"/>
      <c r="M56" s="26"/>
      <c r="O56" s="14"/>
      <c r="P56" s="14" t="s">
        <v>98</v>
      </c>
    </row>
    <row r="57" spans="1:16">
      <c r="A57" s="32"/>
      <c r="B57" s="103" t="s">
        <v>40</v>
      </c>
      <c r="C57" s="33" t="s">
        <v>59</v>
      </c>
      <c r="D57" s="33" t="s">
        <v>130</v>
      </c>
      <c r="E57" s="26" t="s">
        <v>43</v>
      </c>
      <c r="F57" s="26">
        <v>2016</v>
      </c>
      <c r="G57" s="26"/>
      <c r="H57" s="33" t="s">
        <v>73</v>
      </c>
      <c r="I57" s="33"/>
      <c r="J57" s="34"/>
      <c r="K57" s="26"/>
      <c r="L57" s="26"/>
      <c r="M57" s="26"/>
    </row>
    <row r="58" spans="1:16">
      <c r="A58" s="35"/>
      <c r="B58" s="70" t="s">
        <v>125</v>
      </c>
      <c r="C58" s="36" t="s">
        <v>60</v>
      </c>
      <c r="D58" s="36" t="s">
        <v>158</v>
      </c>
      <c r="E58" s="37" t="s">
        <v>44</v>
      </c>
      <c r="F58" s="26">
        <v>2019</v>
      </c>
      <c r="G58" s="26" t="s">
        <v>185</v>
      </c>
      <c r="H58" s="33" t="s">
        <v>159</v>
      </c>
      <c r="I58" s="33"/>
      <c r="J58" s="34"/>
      <c r="K58" s="26"/>
      <c r="L58" s="26"/>
      <c r="M58" s="26"/>
    </row>
    <row r="59" spans="1:16">
      <c r="A59" s="35"/>
      <c r="B59" s="36" t="s">
        <v>41</v>
      </c>
      <c r="C59" s="36" t="s">
        <v>60</v>
      </c>
      <c r="D59" s="36" t="s">
        <v>131</v>
      </c>
      <c r="E59" s="37" t="s">
        <v>44</v>
      </c>
      <c r="F59" s="26">
        <v>2016</v>
      </c>
      <c r="G59" s="26"/>
      <c r="H59" s="33" t="s">
        <v>159</v>
      </c>
      <c r="I59" s="33"/>
      <c r="J59" s="34"/>
      <c r="K59" s="507"/>
      <c r="L59" s="507"/>
      <c r="M59" s="507"/>
    </row>
    <row r="60" spans="1:16" ht="15" thickBot="1">
      <c r="A60" s="201"/>
      <c r="B60" s="203" t="s">
        <v>611</v>
      </c>
      <c r="C60" s="202"/>
      <c r="D60" s="203" t="s">
        <v>613</v>
      </c>
      <c r="E60" s="26" t="s">
        <v>43</v>
      </c>
      <c r="F60" s="26">
        <v>2016</v>
      </c>
      <c r="G60" s="15"/>
      <c r="H60" s="200"/>
      <c r="I60" s="200"/>
      <c r="J60" s="200"/>
      <c r="K60" s="107"/>
      <c r="L60" s="108"/>
      <c r="M60" s="109"/>
    </row>
    <row r="61" spans="1:16" ht="16" thickBot="1">
      <c r="A61" s="32"/>
      <c r="B61" s="526" t="s">
        <v>48</v>
      </c>
      <c r="C61" s="527"/>
      <c r="D61" s="527"/>
      <c r="E61" s="527"/>
      <c r="F61" s="527"/>
      <c r="G61" s="527"/>
      <c r="H61" s="527"/>
      <c r="I61" s="527"/>
      <c r="J61" s="527"/>
      <c r="K61" s="41"/>
      <c r="L61" s="42"/>
      <c r="M61" s="43"/>
      <c r="N61" s="17"/>
    </row>
    <row r="62" spans="1:16" ht="15.5">
      <c r="A62" s="32"/>
      <c r="B62" s="269" t="s">
        <v>1164</v>
      </c>
      <c r="C62" s="269" t="s">
        <v>1165</v>
      </c>
      <c r="D62" s="269" t="s">
        <v>757</v>
      </c>
      <c r="E62" s="9" t="s">
        <v>45</v>
      </c>
      <c r="F62" s="10"/>
      <c r="G62" s="10"/>
      <c r="H62" s="269" t="s">
        <v>758</v>
      </c>
      <c r="I62" s="2"/>
      <c r="J62" s="25"/>
      <c r="K62" s="39"/>
      <c r="L62" s="39"/>
      <c r="M62" s="39"/>
      <c r="N62" s="17"/>
    </row>
    <row r="63" spans="1:16">
      <c r="B63" s="2"/>
      <c r="C63" s="2"/>
      <c r="D63" s="2" t="s">
        <v>122</v>
      </c>
      <c r="E63" s="10"/>
      <c r="F63" s="10"/>
      <c r="G63" s="10"/>
      <c r="H63" s="2"/>
      <c r="I63" s="2"/>
      <c r="J63" s="25"/>
      <c r="K63" s="39"/>
      <c r="L63" s="39"/>
      <c r="M63" s="39"/>
    </row>
    <row r="64" spans="1:16">
      <c r="B64" s="2" t="s">
        <v>527</v>
      </c>
      <c r="C64" s="2"/>
      <c r="D64" s="2" t="s">
        <v>526</v>
      </c>
      <c r="E64" s="10" t="s">
        <v>214</v>
      </c>
      <c r="F64" s="10"/>
      <c r="G64" s="10" t="s">
        <v>528</v>
      </c>
      <c r="H64" s="2"/>
      <c r="I64" s="2"/>
      <c r="J64" s="25"/>
      <c r="K64" s="26"/>
      <c r="L64" s="26"/>
      <c r="M64" s="26"/>
    </row>
    <row r="65" spans="2:13">
      <c r="B65" s="2"/>
      <c r="C65" s="2"/>
      <c r="D65" s="2" t="s">
        <v>58</v>
      </c>
      <c r="E65" s="10"/>
      <c r="F65" s="10"/>
      <c r="G65" s="10"/>
      <c r="H65" s="2"/>
      <c r="I65" s="2"/>
      <c r="J65" s="25"/>
      <c r="K65" s="26"/>
      <c r="L65" s="26"/>
      <c r="M65" s="26"/>
    </row>
    <row r="66" spans="2:13">
      <c r="B66" s="2"/>
      <c r="C66" s="2"/>
      <c r="D66" s="2" t="s">
        <v>58</v>
      </c>
      <c r="E66" s="10"/>
      <c r="F66" s="10"/>
      <c r="G66" s="10"/>
      <c r="H66" s="2"/>
      <c r="I66" s="2"/>
      <c r="J66" s="25"/>
      <c r="K66" s="26"/>
      <c r="L66" s="26"/>
      <c r="M66" s="26"/>
    </row>
    <row r="67" spans="2:13">
      <c r="B67" s="2"/>
      <c r="C67" s="2"/>
      <c r="D67" s="2" t="s">
        <v>58</v>
      </c>
      <c r="E67" s="10"/>
      <c r="F67" s="10"/>
      <c r="G67" s="10"/>
      <c r="H67" s="2"/>
      <c r="I67" s="2"/>
      <c r="J67" s="25"/>
      <c r="K67" s="26"/>
      <c r="L67" s="26"/>
      <c r="M67" s="26"/>
    </row>
    <row r="68" spans="2:13">
      <c r="B68" s="2"/>
      <c r="C68" s="2"/>
      <c r="D68" s="2" t="s">
        <v>58</v>
      </c>
      <c r="E68" s="10"/>
      <c r="F68" s="10"/>
      <c r="G68" s="10"/>
      <c r="H68" s="2"/>
      <c r="I68" s="2"/>
      <c r="J68" s="25"/>
      <c r="K68" s="26"/>
      <c r="L68" s="26"/>
      <c r="M68" s="26"/>
    </row>
    <row r="69" spans="2:13">
      <c r="B69" s="2"/>
      <c r="C69" s="2"/>
      <c r="D69" s="2" t="s">
        <v>58</v>
      </c>
      <c r="E69" s="10"/>
      <c r="F69" s="10"/>
      <c r="G69" s="10"/>
      <c r="H69" s="2"/>
      <c r="I69" s="2"/>
      <c r="J69" s="25"/>
      <c r="K69" s="26"/>
      <c r="L69" s="26"/>
      <c r="M69" s="26"/>
    </row>
    <row r="70" spans="2:13">
      <c r="B70" s="2"/>
      <c r="C70" s="2"/>
      <c r="D70" s="2" t="s">
        <v>58</v>
      </c>
      <c r="E70" s="10"/>
      <c r="F70" s="10"/>
      <c r="G70" s="10"/>
      <c r="H70" s="2"/>
      <c r="I70" s="2"/>
      <c r="J70" s="25"/>
      <c r="K70" s="26"/>
      <c r="L70" s="26"/>
      <c r="M70" s="26"/>
    </row>
    <row r="71" spans="2:13">
      <c r="B71" s="2"/>
      <c r="C71" s="2"/>
      <c r="D71" s="2" t="s">
        <v>58</v>
      </c>
      <c r="E71" s="10"/>
      <c r="F71" s="10"/>
      <c r="G71" s="10"/>
      <c r="H71" s="2"/>
      <c r="I71" s="2"/>
      <c r="J71" s="25"/>
      <c r="K71" s="26"/>
      <c r="L71" s="26"/>
      <c r="M71" s="26"/>
    </row>
    <row r="72" spans="2:13">
      <c r="B72" s="2"/>
      <c r="C72" s="2"/>
      <c r="D72" s="2"/>
      <c r="E72" s="10"/>
      <c r="F72" s="10"/>
      <c r="G72" s="10"/>
      <c r="H72" s="2"/>
      <c r="I72" s="2"/>
      <c r="J72" s="25"/>
      <c r="K72" s="26"/>
      <c r="L72" s="26"/>
      <c r="M72" s="26"/>
    </row>
    <row r="73" spans="2:13">
      <c r="B73" s="2"/>
      <c r="C73" s="2"/>
      <c r="D73" s="2"/>
      <c r="E73" s="10"/>
      <c r="F73" s="10"/>
      <c r="G73" s="10"/>
      <c r="H73" s="2"/>
      <c r="I73" s="2"/>
      <c r="J73" s="25"/>
      <c r="K73" s="26"/>
      <c r="L73" s="26"/>
      <c r="M73" s="26"/>
    </row>
    <row r="74" spans="2:13">
      <c r="B74" s="2" t="s">
        <v>535</v>
      </c>
      <c r="C74" s="2"/>
      <c r="D74" s="2" t="s">
        <v>534</v>
      </c>
      <c r="E74" s="10"/>
      <c r="F74" s="10"/>
      <c r="G74" s="10"/>
      <c r="H74" s="2"/>
      <c r="I74" s="2"/>
      <c r="J74" s="25"/>
      <c r="K74" s="26"/>
      <c r="L74" s="26"/>
      <c r="M74" s="26"/>
    </row>
    <row r="75" spans="2:13">
      <c r="B75" s="2"/>
      <c r="C75" s="2"/>
      <c r="D75" s="2"/>
      <c r="E75" s="10"/>
      <c r="F75" s="10"/>
      <c r="G75" s="10"/>
      <c r="H75" s="2"/>
      <c r="I75" s="2"/>
      <c r="J75" s="25"/>
      <c r="K75" s="26"/>
      <c r="L75" s="26"/>
      <c r="M75" s="26"/>
    </row>
    <row r="76" spans="2:13">
      <c r="B76" s="2"/>
      <c r="E76" s="10"/>
      <c r="F76" s="10"/>
      <c r="G76" s="10"/>
      <c r="H76" s="2"/>
      <c r="I76" s="2"/>
      <c r="J76" s="25"/>
      <c r="K76" s="26"/>
      <c r="L76" s="26"/>
      <c r="M76" s="26"/>
    </row>
    <row r="77" spans="2:13">
      <c r="B77" s="2"/>
      <c r="C77" s="2"/>
      <c r="D77" s="2"/>
      <c r="E77" s="10"/>
      <c r="F77" s="10"/>
      <c r="G77" s="10"/>
      <c r="H77" s="2"/>
      <c r="I77" s="2"/>
      <c r="J77" s="25"/>
      <c r="K77" s="26"/>
      <c r="L77" s="26"/>
      <c r="M77" s="26"/>
    </row>
    <row r="78" spans="2:13">
      <c r="B78" s="2"/>
      <c r="C78" s="2"/>
      <c r="D78" s="2"/>
      <c r="E78" s="10"/>
      <c r="F78" s="10"/>
      <c r="G78" s="10"/>
      <c r="H78" s="2"/>
      <c r="I78" s="2"/>
      <c r="J78" s="25"/>
      <c r="K78" s="26"/>
      <c r="L78" s="26"/>
      <c r="M78" s="26"/>
    </row>
    <row r="79" spans="2:13">
      <c r="B79" s="2"/>
      <c r="C79" s="2"/>
      <c r="D79" s="2"/>
      <c r="E79" s="10"/>
      <c r="F79" s="10"/>
      <c r="G79" s="10"/>
      <c r="H79" s="2"/>
      <c r="I79" s="2"/>
      <c r="J79" s="25"/>
      <c r="K79" s="26"/>
      <c r="L79" s="26"/>
      <c r="M79" s="26"/>
    </row>
  </sheetData>
  <mergeCells count="4">
    <mergeCell ref="B2:J2"/>
    <mergeCell ref="B35:J35"/>
    <mergeCell ref="B48:J48"/>
    <mergeCell ref="B61:J61"/>
  </mergeCells>
  <phoneticPr fontId="5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8298-D010-41E5-9CC8-DCF66D2AF50D}">
  <sheetPr>
    <tabColor rgb="FFFFFF00"/>
  </sheetPr>
  <dimension ref="B1:R30"/>
  <sheetViews>
    <sheetView workbookViewId="0">
      <selection activeCell="E10" sqref="E10"/>
    </sheetView>
  </sheetViews>
  <sheetFormatPr defaultRowHeight="14.5"/>
  <cols>
    <col min="1" max="1" width="1.26953125" customWidth="1"/>
    <col min="2" max="2" width="27.81640625" customWidth="1"/>
    <col min="3" max="3" width="17.1796875" customWidth="1"/>
    <col min="4" max="4" width="13.54296875" bestFit="1" customWidth="1"/>
    <col min="5" max="5" width="63.453125" customWidth="1"/>
    <col min="6" max="6" width="12.81640625" hidden="1" customWidth="1"/>
    <col min="7" max="7" width="15.81640625" customWidth="1"/>
    <col min="8" max="8" width="14.453125" customWidth="1"/>
    <col min="9" max="9" width="15.26953125" customWidth="1"/>
    <col min="10" max="10" width="14.453125" customWidth="1"/>
    <col min="11" max="11" width="11.1796875" style="1" bestFit="1" customWidth="1"/>
    <col min="12" max="12" width="7.453125" style="1" customWidth="1"/>
    <col min="13" max="13" width="32" style="21" customWidth="1"/>
    <col min="14" max="14" width="19.453125" bestFit="1" customWidth="1"/>
  </cols>
  <sheetData>
    <row r="1" spans="2:18" s="394" customFormat="1">
      <c r="B1" s="395" t="s">
        <v>1363</v>
      </c>
      <c r="C1" s="395"/>
      <c r="D1" s="395" t="s">
        <v>21</v>
      </c>
      <c r="E1" s="395" t="s">
        <v>1364</v>
      </c>
      <c r="F1" s="395" t="s">
        <v>1366</v>
      </c>
      <c r="G1" s="395" t="s">
        <v>1367</v>
      </c>
      <c r="H1" s="395" t="s">
        <v>1371</v>
      </c>
      <c r="I1" s="395" t="s">
        <v>1368</v>
      </c>
      <c r="J1" s="395" t="s">
        <v>1369</v>
      </c>
      <c r="K1" s="395" t="s">
        <v>1370</v>
      </c>
      <c r="L1" s="395" t="s">
        <v>1372</v>
      </c>
      <c r="M1" s="514"/>
      <c r="N1" s="395" t="s">
        <v>1365</v>
      </c>
    </row>
    <row r="2" spans="2:18">
      <c r="B2" s="528" t="s">
        <v>1</v>
      </c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22" t="s">
        <v>1394</v>
      </c>
    </row>
    <row r="3" spans="2:18">
      <c r="B3" s="122" t="s">
        <v>1396</v>
      </c>
      <c r="C3" s="122"/>
      <c r="D3" s="133" t="s">
        <v>1782</v>
      </c>
      <c r="E3" s="399" t="s">
        <v>1075</v>
      </c>
      <c r="F3" s="10" t="s">
        <v>1386</v>
      </c>
      <c r="G3" s="2" t="s">
        <v>1376</v>
      </c>
      <c r="H3" s="2" t="s">
        <v>1375</v>
      </c>
      <c r="I3" s="2" t="s">
        <v>1380</v>
      </c>
      <c r="J3" s="2" t="s">
        <v>1383</v>
      </c>
      <c r="K3" s="10" t="s">
        <v>595</v>
      </c>
      <c r="L3" s="10">
        <v>0</v>
      </c>
      <c r="M3" s="49" t="s">
        <v>1400</v>
      </c>
      <c r="N3" s="2" t="s">
        <v>1079</v>
      </c>
      <c r="O3" s="8" t="s">
        <v>1545</v>
      </c>
    </row>
    <row r="4" spans="2:18">
      <c r="B4" s="2" t="s">
        <v>1537</v>
      </c>
      <c r="C4" s="2" t="s">
        <v>1781</v>
      </c>
      <c r="D4" s="2" t="s">
        <v>1778</v>
      </c>
      <c r="E4" s="2" t="s">
        <v>1542</v>
      </c>
      <c r="F4" s="10" t="s">
        <v>1550</v>
      </c>
      <c r="G4" s="2" t="s">
        <v>1374</v>
      </c>
      <c r="H4" s="2" t="s">
        <v>1375</v>
      </c>
      <c r="I4" s="440" t="s">
        <v>1621</v>
      </c>
      <c r="J4" s="2" t="s">
        <v>1622</v>
      </c>
      <c r="K4" s="10" t="s">
        <v>592</v>
      </c>
      <c r="L4" s="10">
        <v>1</v>
      </c>
      <c r="M4" s="49" t="s">
        <v>373</v>
      </c>
      <c r="N4" s="2" t="s">
        <v>177</v>
      </c>
      <c r="O4" s="8" t="s">
        <v>1397</v>
      </c>
    </row>
    <row r="5" spans="2:18">
      <c r="B5" s="441" t="s">
        <v>1612</v>
      </c>
      <c r="C5" s="423"/>
      <c r="D5" s="423" t="s">
        <v>1779</v>
      </c>
      <c r="E5" s="517" t="s">
        <v>1542</v>
      </c>
      <c r="F5" s="2"/>
      <c r="G5" s="516" t="s">
        <v>1374</v>
      </c>
      <c r="H5" s="516" t="s">
        <v>1375</v>
      </c>
      <c r="I5" s="518" t="s">
        <v>1621</v>
      </c>
      <c r="J5" s="516" t="s">
        <v>1622</v>
      </c>
      <c r="K5" s="519" t="s">
        <v>592</v>
      </c>
      <c r="L5" s="519">
        <v>1</v>
      </c>
      <c r="M5" s="520" t="s">
        <v>373</v>
      </c>
    </row>
    <row r="6" spans="2:18">
      <c r="B6" s="2" t="s">
        <v>1613</v>
      </c>
      <c r="C6" s="2" t="s">
        <v>1695</v>
      </c>
      <c r="D6" s="2" t="s">
        <v>1624</v>
      </c>
      <c r="E6" s="2" t="s">
        <v>1614</v>
      </c>
      <c r="F6" s="10" t="s">
        <v>1549</v>
      </c>
      <c r="G6" s="2" t="s">
        <v>1374</v>
      </c>
      <c r="H6" s="2" t="s">
        <v>1375</v>
      </c>
      <c r="I6" s="440" t="s">
        <v>1772</v>
      </c>
      <c r="J6" s="2" t="s">
        <v>1773</v>
      </c>
      <c r="K6" s="10" t="s">
        <v>592</v>
      </c>
      <c r="L6" s="10">
        <v>0</v>
      </c>
      <c r="M6" s="49" t="s">
        <v>373</v>
      </c>
      <c r="N6" s="423" t="s">
        <v>1511</v>
      </c>
    </row>
    <row r="7" spans="2:18">
      <c r="B7" s="2" t="s">
        <v>1538</v>
      </c>
      <c r="C7" s="133" t="s">
        <v>1776</v>
      </c>
      <c r="D7" s="133" t="s">
        <v>1777</v>
      </c>
      <c r="E7" s="2" t="s">
        <v>1548</v>
      </c>
      <c r="F7" s="10" t="s">
        <v>1549</v>
      </c>
      <c r="G7" s="2" t="s">
        <v>1376</v>
      </c>
      <c r="H7" s="2" t="s">
        <v>1375</v>
      </c>
      <c r="I7" s="2" t="s">
        <v>1620</v>
      </c>
      <c r="J7" s="2" t="s">
        <v>1544</v>
      </c>
      <c r="K7" s="10" t="s">
        <v>595</v>
      </c>
      <c r="L7" s="10">
        <v>1</v>
      </c>
      <c r="M7" s="49" t="s">
        <v>373</v>
      </c>
      <c r="N7" s="2" t="s">
        <v>1398</v>
      </c>
    </row>
    <row r="8" spans="2:18">
      <c r="B8" s="165" t="s">
        <v>1619</v>
      </c>
      <c r="C8" s="133"/>
      <c r="D8" s="133" t="s">
        <v>1780</v>
      </c>
      <c r="E8" s="516" t="s">
        <v>1548</v>
      </c>
      <c r="F8" s="2"/>
      <c r="G8" s="516" t="s">
        <v>1376</v>
      </c>
      <c r="H8" s="516" t="s">
        <v>1375</v>
      </c>
      <c r="I8" s="516" t="s">
        <v>1620</v>
      </c>
      <c r="J8" s="516" t="s">
        <v>1544</v>
      </c>
      <c r="K8" s="519" t="s">
        <v>1774</v>
      </c>
      <c r="L8" s="519">
        <v>1</v>
      </c>
      <c r="M8" s="520" t="s">
        <v>373</v>
      </c>
      <c r="N8" s="2"/>
    </row>
    <row r="9" spans="2:18">
      <c r="B9" s="528" t="s">
        <v>1029</v>
      </c>
      <c r="C9" s="528"/>
      <c r="D9" s="528"/>
      <c r="E9" s="528"/>
      <c r="F9" s="528"/>
      <c r="G9" s="528"/>
      <c r="H9" s="528"/>
      <c r="I9" s="528"/>
      <c r="J9" s="528"/>
      <c r="K9" s="528"/>
      <c r="L9" s="528"/>
      <c r="M9" s="528"/>
      <c r="N9" s="528"/>
      <c r="O9" s="22" t="s">
        <v>1395</v>
      </c>
    </row>
    <row r="10" spans="2:18">
      <c r="B10" s="396" t="s">
        <v>598</v>
      </c>
      <c r="C10" s="396"/>
      <c r="D10" s="2" t="s">
        <v>1790</v>
      </c>
      <c r="E10" s="2" t="s">
        <v>603</v>
      </c>
      <c r="F10" s="10" t="s">
        <v>1387</v>
      </c>
      <c r="G10" s="2" t="s">
        <v>1374</v>
      </c>
      <c r="H10" s="2" t="s">
        <v>1375</v>
      </c>
      <c r="I10" s="2" t="s">
        <v>1380</v>
      </c>
      <c r="J10" s="2" t="s">
        <v>1383</v>
      </c>
      <c r="K10" s="10" t="s">
        <v>595</v>
      </c>
      <c r="L10" s="10">
        <v>0</v>
      </c>
      <c r="M10" s="49" t="s">
        <v>373</v>
      </c>
      <c r="N10" s="2" t="s">
        <v>177</v>
      </c>
      <c r="O10" s="8" t="s">
        <v>1393</v>
      </c>
    </row>
    <row r="11" spans="2:18" s="211" customFormat="1">
      <c r="B11" s="396" t="s">
        <v>1506</v>
      </c>
      <c r="C11" s="396"/>
      <c r="D11" s="2" t="s">
        <v>1521</v>
      </c>
      <c r="E11" t="s">
        <v>1522</v>
      </c>
      <c r="F11" s="10" t="s">
        <v>1523</v>
      </c>
      <c r="G11" s="2" t="s">
        <v>1374</v>
      </c>
      <c r="H11" s="2" t="s">
        <v>1375</v>
      </c>
      <c r="I11" s="2" t="s">
        <v>1381</v>
      </c>
      <c r="J11" s="2" t="s">
        <v>1384</v>
      </c>
      <c r="K11" s="10" t="s">
        <v>595</v>
      </c>
      <c r="L11" s="398">
        <v>0</v>
      </c>
      <c r="M11" s="49" t="s">
        <v>373</v>
      </c>
      <c r="N11" s="423" t="s">
        <v>1511</v>
      </c>
      <c r="O11"/>
      <c r="P11"/>
      <c r="Q11"/>
      <c r="R11"/>
    </row>
    <row r="12" spans="2:18">
      <c r="B12" s="122" t="s">
        <v>768</v>
      </c>
      <c r="C12" s="122"/>
      <c r="D12" s="2" t="s">
        <v>914</v>
      </c>
      <c r="E12" s="2" t="s">
        <v>911</v>
      </c>
      <c r="F12" s="10" t="s">
        <v>1510</v>
      </c>
      <c r="G12" s="2" t="s">
        <v>1376</v>
      </c>
      <c r="H12" s="2" t="s">
        <v>1377</v>
      </c>
      <c r="I12" s="2" t="s">
        <v>1381</v>
      </c>
      <c r="J12" s="2" t="s">
        <v>1384</v>
      </c>
      <c r="K12" s="10" t="s">
        <v>595</v>
      </c>
      <c r="L12" s="10">
        <v>0</v>
      </c>
      <c r="M12" s="49" t="s">
        <v>373</v>
      </c>
      <c r="N12" s="2" t="s">
        <v>1398</v>
      </c>
    </row>
    <row r="13" spans="2:18">
      <c r="B13" s="421" t="s">
        <v>1373</v>
      </c>
      <c r="C13" s="421"/>
      <c r="D13" s="208" t="s">
        <v>1385</v>
      </c>
      <c r="E13" s="208" t="s">
        <v>1379</v>
      </c>
      <c r="F13" s="422" t="s">
        <v>1387</v>
      </c>
      <c r="G13" s="208" t="s">
        <v>1378</v>
      </c>
      <c r="H13" s="208" t="s">
        <v>1375</v>
      </c>
      <c r="I13" s="208" t="s">
        <v>1382</v>
      </c>
      <c r="J13" s="208" t="s">
        <v>1388</v>
      </c>
      <c r="K13" s="422" t="s">
        <v>595</v>
      </c>
      <c r="L13" s="422">
        <v>0</v>
      </c>
      <c r="M13" s="515" t="s">
        <v>373</v>
      </c>
      <c r="N13" s="208" t="s">
        <v>1399</v>
      </c>
    </row>
    <row r="14" spans="2:18">
      <c r="B14" s="2"/>
      <c r="C14" s="2"/>
      <c r="D14" s="2"/>
      <c r="E14" s="2"/>
      <c r="F14" s="2"/>
      <c r="G14" s="2"/>
      <c r="H14" s="2"/>
      <c r="I14" s="2"/>
      <c r="J14" s="2"/>
      <c r="K14" s="10"/>
      <c r="L14" s="10"/>
      <c r="M14" s="49"/>
      <c r="N14" s="2"/>
    </row>
    <row r="15" spans="2:18">
      <c r="B15" s="2"/>
      <c r="C15" s="2"/>
      <c r="D15" s="2"/>
      <c r="E15" s="2"/>
      <c r="F15" s="2"/>
      <c r="G15" s="2"/>
      <c r="H15" s="2"/>
      <c r="I15" s="2"/>
      <c r="J15" s="2"/>
      <c r="K15" s="10"/>
      <c r="L15" s="10"/>
      <c r="M15" s="49"/>
      <c r="N15" s="2"/>
    </row>
    <row r="16" spans="2:18">
      <c r="B16" s="528" t="s">
        <v>1389</v>
      </c>
      <c r="C16" s="528"/>
      <c r="D16" s="528"/>
      <c r="E16" s="528"/>
      <c r="F16" s="528"/>
      <c r="G16" s="528"/>
      <c r="H16" s="528"/>
      <c r="I16" s="528"/>
      <c r="J16" s="528"/>
      <c r="K16" s="528"/>
      <c r="L16" s="528"/>
      <c r="M16" s="528"/>
      <c r="N16" s="528"/>
      <c r="O16" s="22" t="s">
        <v>1390</v>
      </c>
    </row>
    <row r="17" spans="2:15">
      <c r="B17" s="122" t="s">
        <v>1111</v>
      </c>
      <c r="C17" s="122"/>
      <c r="D17" s="2" t="s">
        <v>1119</v>
      </c>
      <c r="E17" s="2" t="s">
        <v>1117</v>
      </c>
      <c r="F17" s="397" t="s">
        <v>1387</v>
      </c>
      <c r="G17" s="2" t="s">
        <v>1376</v>
      </c>
      <c r="H17" s="2" t="s">
        <v>1377</v>
      </c>
      <c r="I17" s="2" t="s">
        <v>1381</v>
      </c>
      <c r="J17" s="2" t="s">
        <v>1384</v>
      </c>
      <c r="K17" s="398" t="s">
        <v>595</v>
      </c>
      <c r="L17" s="10">
        <v>0</v>
      </c>
      <c r="M17" s="49" t="s">
        <v>373</v>
      </c>
      <c r="N17" s="2" t="s">
        <v>1399</v>
      </c>
      <c r="O17" s="8" t="s">
        <v>1391</v>
      </c>
    </row>
    <row r="18" spans="2:15">
      <c r="B18" s="2"/>
      <c r="C18" s="2"/>
      <c r="D18" s="2"/>
      <c r="E18" s="2"/>
      <c r="F18" s="2"/>
      <c r="G18" s="2"/>
      <c r="H18" s="2"/>
      <c r="I18" s="2"/>
      <c r="J18" s="2"/>
      <c r="K18" s="2"/>
      <c r="L18" s="10"/>
      <c r="M18" s="49"/>
      <c r="N18" s="2"/>
      <c r="O18" s="8" t="s">
        <v>1392</v>
      </c>
    </row>
    <row r="19" spans="2:15">
      <c r="B19" s="2"/>
      <c r="C19" s="2"/>
      <c r="D19" s="2"/>
      <c r="E19" s="2"/>
      <c r="F19" s="2"/>
      <c r="G19" s="2"/>
      <c r="H19" s="2"/>
      <c r="I19" s="2"/>
      <c r="J19" s="2"/>
      <c r="K19" s="10"/>
      <c r="L19" s="10"/>
      <c r="M19" s="49"/>
      <c r="N19" s="2"/>
    </row>
    <row r="20" spans="2:15">
      <c r="B20" s="2"/>
      <c r="C20" s="2"/>
      <c r="D20" s="2"/>
      <c r="E20" s="2"/>
      <c r="F20" s="2"/>
      <c r="G20" s="2"/>
      <c r="H20" s="2"/>
      <c r="I20" s="2"/>
      <c r="J20" s="2"/>
      <c r="K20" s="10"/>
      <c r="L20" s="10"/>
      <c r="M20" s="49"/>
      <c r="N20" s="2"/>
    </row>
    <row r="21" spans="2:15">
      <c r="B21" s="2"/>
      <c r="C21" s="2"/>
      <c r="D21" s="2"/>
      <c r="E21" s="2"/>
      <c r="F21" s="2"/>
      <c r="G21" s="2"/>
      <c r="H21" s="2"/>
      <c r="I21" s="2"/>
      <c r="J21" s="2"/>
      <c r="K21" s="10"/>
      <c r="L21" s="10"/>
      <c r="M21" s="49"/>
      <c r="N21" s="2"/>
    </row>
    <row r="22" spans="2:15">
      <c r="B22" s="2"/>
      <c r="C22" s="2"/>
      <c r="D22" s="2"/>
      <c r="E22" s="2"/>
      <c r="F22" s="2"/>
      <c r="G22" s="2"/>
      <c r="H22" s="2"/>
      <c r="I22" s="2"/>
      <c r="J22" s="2"/>
      <c r="K22" s="10"/>
      <c r="L22" s="10"/>
      <c r="M22" s="49"/>
      <c r="N22" s="2"/>
    </row>
    <row r="23" spans="2:15">
      <c r="B23" s="2"/>
      <c r="C23" s="2"/>
      <c r="D23" s="2"/>
      <c r="E23" s="2"/>
      <c r="F23" s="2"/>
      <c r="G23" s="2"/>
      <c r="H23" s="2"/>
      <c r="I23" s="2"/>
      <c r="J23" s="2"/>
      <c r="K23" s="10"/>
      <c r="L23" s="10"/>
      <c r="M23" s="49"/>
      <c r="N23" s="2"/>
    </row>
    <row r="24" spans="2:15">
      <c r="B24" s="2"/>
      <c r="C24" s="2"/>
      <c r="D24" s="2"/>
      <c r="E24" s="2"/>
      <c r="F24" s="2"/>
      <c r="G24" s="2"/>
      <c r="H24" s="2"/>
      <c r="I24" s="2"/>
      <c r="J24" s="2"/>
      <c r="K24" s="10"/>
      <c r="L24" s="10"/>
      <c r="M24" s="49"/>
      <c r="N24" s="2"/>
    </row>
    <row r="25" spans="2:15">
      <c r="B25" s="2"/>
      <c r="C25" s="2"/>
      <c r="D25" s="2"/>
      <c r="E25" s="2"/>
      <c r="F25" s="2"/>
      <c r="G25" s="2"/>
      <c r="H25" s="2"/>
      <c r="I25" s="2"/>
      <c r="J25" s="2"/>
      <c r="K25" s="10"/>
      <c r="L25" s="10"/>
      <c r="M25" s="49"/>
      <c r="N25" s="2"/>
    </row>
    <row r="26" spans="2:15">
      <c r="B26" s="2"/>
      <c r="C26" s="2"/>
      <c r="D26" s="2"/>
      <c r="E26" s="2"/>
      <c r="F26" s="2"/>
      <c r="G26" s="2"/>
      <c r="H26" s="2"/>
      <c r="I26" s="2"/>
      <c r="J26" s="2"/>
      <c r="K26" s="10"/>
      <c r="L26" s="10"/>
      <c r="M26" s="49"/>
      <c r="N26" s="2"/>
    </row>
    <row r="27" spans="2:15">
      <c r="B27" s="2"/>
      <c r="C27" s="2"/>
      <c r="D27" s="2"/>
      <c r="E27" s="2"/>
      <c r="F27" s="2"/>
      <c r="G27" s="2"/>
      <c r="H27" s="2"/>
      <c r="I27" s="2"/>
      <c r="J27" s="2"/>
      <c r="K27" s="10"/>
      <c r="L27" s="10"/>
      <c r="M27" s="49"/>
      <c r="N27" s="2"/>
    </row>
    <row r="28" spans="2:15">
      <c r="B28" s="2"/>
      <c r="C28" s="2"/>
      <c r="D28" s="2"/>
      <c r="E28" s="2"/>
      <c r="F28" s="2"/>
      <c r="G28" s="2"/>
      <c r="H28" s="2"/>
      <c r="I28" s="2"/>
      <c r="J28" s="2"/>
      <c r="K28" s="10"/>
      <c r="L28" s="10"/>
      <c r="M28" s="49"/>
      <c r="N28" s="2"/>
    </row>
    <row r="29" spans="2:15">
      <c r="B29" s="2"/>
      <c r="C29" s="2"/>
      <c r="D29" s="2"/>
      <c r="E29" s="2"/>
      <c r="F29" s="2"/>
      <c r="G29" s="2"/>
      <c r="H29" s="2"/>
      <c r="I29" s="2"/>
      <c r="J29" s="2"/>
      <c r="K29" s="10"/>
      <c r="L29" s="10"/>
      <c r="M29" s="49"/>
      <c r="N29" s="2"/>
    </row>
    <row r="30" spans="2:15">
      <c r="B30" s="2"/>
      <c r="C30" s="2"/>
      <c r="D30" s="2"/>
      <c r="E30" s="2"/>
      <c r="F30" s="2"/>
      <c r="G30" s="2"/>
      <c r="H30" s="2"/>
      <c r="I30" s="2"/>
      <c r="J30" s="2"/>
      <c r="K30" s="10"/>
      <c r="L30" s="10"/>
      <c r="M30" s="49"/>
      <c r="N30" s="2"/>
    </row>
  </sheetData>
  <mergeCells count="3">
    <mergeCell ref="B2:N2"/>
    <mergeCell ref="B9:N9"/>
    <mergeCell ref="B16:N16"/>
  </mergeCells>
  <phoneticPr fontId="52" type="noConversion"/>
  <hyperlinks>
    <hyperlink ref="B13" r:id="rId1" location="database:id=pprd-sbo;is-cluster=false" display="https://il-central-1.console.aws.amazon.com/rds/home?region=il-central-1 - database:id=pprd-sbo;is-cluster=false" xr:uid="{6C29E1EA-E472-49F9-BEE5-7E597D361A0F}"/>
    <hyperlink ref="B12" r:id="rId2" location="database:id=pprd-mumhim;is-cluster=false" display="https://il-central-1.console.aws.amazon.com/rds/home?region=il-central-1 - database:id=pprd-mumhim;is-cluster=false" xr:uid="{34D7CE58-0955-47E6-B893-A3CA5C1B6B4A}"/>
    <hyperlink ref="B10" r:id="rId3" location="database:id=ngcs-main-new;is-cluster=false" display="https://il-central-1.console.aws.amazon.com/rds/home?region=il-central-1 - database:id=ngcs-main-new;is-cluster=false" xr:uid="{72D61775-3A2A-4EC8-AE4D-55ED09A5E00D}"/>
    <hyperlink ref="B17" r:id="rId4" location="database:id=stg-sbo01;is-cluster=false" display="https://il-central-1.console.aws.amazon.com/rds/home?region=il-central-1 - database:id=stg-sbo01;is-cluster=false" xr:uid="{1DB0F529-C524-41B2-9C6F-18C74F5AE780}"/>
    <hyperlink ref="O2" r:id="rId5" location="/console?account_id=767397990042&amp;role_name=MPS-RDSFullAccess" xr:uid="{8E32575E-2B3C-443A-808E-24FF0FF7F677}"/>
    <hyperlink ref="O9" r:id="rId6" location="/console?account_id=905418287126&amp;role_name=MPS-RDSFullAccess" xr:uid="{B23255BD-3664-4BA7-AD8D-4E4537015784}"/>
    <hyperlink ref="O16" r:id="rId7" location="/console?account_id=058264307677&amp;role_name=MPS-RDSFullAccess" xr:uid="{D2CCCBCD-7E56-44E8-B36C-DF6A158076FE}"/>
    <hyperlink ref="B3" r:id="rId8" location="database:id=prd-sasa-multisource-01;is-cluster=false" display="https://il-central-1.console.aws.amazon.com/rds/home?region=il-central-1 - database:id=prd-sasa-multisource-01;is-cluster=false" xr:uid="{7E6237DD-4799-4D43-8830-8CC7AF23C0AE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586C-BCEB-4687-AA9F-5355559C63EA}">
  <sheetPr codeName="Sheet11"/>
  <dimension ref="A1:U117"/>
  <sheetViews>
    <sheetView zoomScale="85" zoomScaleNormal="85" workbookViewId="0">
      <pane xSplit="2" ySplit="8" topLeftCell="D9" activePane="bottomRight" state="frozen"/>
      <selection pane="topRight" activeCell="C1" sqref="C1"/>
      <selection pane="bottomLeft" activeCell="A8" sqref="A8"/>
      <selection pane="bottomRight" activeCell="E25" sqref="E25"/>
    </sheetView>
  </sheetViews>
  <sheetFormatPr defaultRowHeight="14.5"/>
  <cols>
    <col min="1" max="1" width="4.26953125" customWidth="1"/>
    <col min="2" max="2" width="22.54296875" customWidth="1"/>
    <col min="3" max="5" width="42.1796875" customWidth="1"/>
    <col min="6" max="6" width="41.453125" customWidth="1"/>
    <col min="7" max="7" width="45.81640625" customWidth="1"/>
    <col min="8" max="8" width="45.81640625" style="339" hidden="1" customWidth="1"/>
    <col min="9" max="11" width="45.1796875" customWidth="1"/>
    <col min="12" max="12" width="42.1796875" customWidth="1"/>
    <col min="13" max="13" width="47.1796875" customWidth="1"/>
    <col min="14" max="14" width="46" bestFit="1" customWidth="1"/>
    <col min="15" max="15" width="36.1796875" customWidth="1"/>
    <col min="16" max="16" width="13.54296875" customWidth="1"/>
  </cols>
  <sheetData>
    <row r="1" spans="1:15" ht="15" hidden="1" customHeight="1">
      <c r="B1" t="s">
        <v>547</v>
      </c>
      <c r="F1" t="s">
        <v>395</v>
      </c>
      <c r="I1" t="s">
        <v>394</v>
      </c>
      <c r="O1" t="s">
        <v>396</v>
      </c>
    </row>
    <row r="2" spans="1:15" ht="15" customHeight="1">
      <c r="B2" s="116" t="s">
        <v>375</v>
      </c>
      <c r="C2" s="115" t="s">
        <v>354</v>
      </c>
      <c r="F2" s="115" t="s">
        <v>354</v>
      </c>
    </row>
    <row r="3" spans="1:15" ht="15" customHeight="1">
      <c r="B3" s="116" t="s">
        <v>374</v>
      </c>
      <c r="C3" s="115" t="s">
        <v>373</v>
      </c>
      <c r="F3" s="115" t="s">
        <v>373</v>
      </c>
      <c r="I3" t="s">
        <v>379</v>
      </c>
      <c r="O3" t="s">
        <v>397</v>
      </c>
    </row>
    <row r="4" spans="1:15" ht="15" customHeight="1">
      <c r="B4" s="116" t="s">
        <v>376</v>
      </c>
      <c r="C4" s="115" t="s">
        <v>377</v>
      </c>
      <c r="F4" s="115" t="s">
        <v>377</v>
      </c>
      <c r="I4" t="s">
        <v>378</v>
      </c>
      <c r="O4" t="s">
        <v>398</v>
      </c>
    </row>
    <row r="5" spans="1:15" ht="15" customHeight="1">
      <c r="B5" s="116" t="s">
        <v>652</v>
      </c>
      <c r="G5" t="s">
        <v>894</v>
      </c>
      <c r="N5" s="115"/>
    </row>
    <row r="6" spans="1:15" ht="15.75" customHeight="1">
      <c r="B6" s="116" t="s">
        <v>764</v>
      </c>
      <c r="C6" s="115"/>
      <c r="D6" s="115"/>
      <c r="E6" s="115"/>
      <c r="F6" s="115"/>
      <c r="G6" s="115" t="s">
        <v>893</v>
      </c>
      <c r="H6" s="412"/>
      <c r="I6" s="115"/>
      <c r="J6" s="115"/>
      <c r="K6" s="115"/>
      <c r="L6" s="115"/>
      <c r="M6" s="115"/>
      <c r="N6" s="116"/>
    </row>
    <row r="7" spans="1:15" ht="19" thickBot="1">
      <c r="B7" s="116"/>
      <c r="C7" s="533" t="s">
        <v>141</v>
      </c>
      <c r="D7" s="533"/>
      <c r="E7" s="533"/>
      <c r="F7" s="529" t="s">
        <v>1029</v>
      </c>
      <c r="G7" s="529"/>
      <c r="H7" s="529"/>
      <c r="I7" s="529"/>
      <c r="J7" s="530" t="s">
        <v>33</v>
      </c>
      <c r="K7" s="531"/>
      <c r="L7" s="530"/>
      <c r="M7" s="532"/>
      <c r="N7" s="532"/>
    </row>
    <row r="8" spans="1:15" ht="19" thickBot="1">
      <c r="B8" s="331" t="s">
        <v>382</v>
      </c>
      <c r="C8" s="330" t="s">
        <v>1043</v>
      </c>
      <c r="D8" s="330" t="s">
        <v>1042</v>
      </c>
      <c r="E8" s="330" t="s">
        <v>1534</v>
      </c>
      <c r="F8" s="330" t="s">
        <v>1043</v>
      </c>
      <c r="G8" s="330" t="s">
        <v>1042</v>
      </c>
      <c r="H8" s="413" t="s">
        <v>1508</v>
      </c>
      <c r="I8" s="330" t="s">
        <v>1044</v>
      </c>
      <c r="J8" s="330" t="s">
        <v>1043</v>
      </c>
      <c r="K8" s="330" t="s">
        <v>1114</v>
      </c>
      <c r="L8" s="330" t="s">
        <v>1044</v>
      </c>
      <c r="M8" s="298" t="s">
        <v>1053</v>
      </c>
      <c r="N8" s="298" t="s">
        <v>650</v>
      </c>
    </row>
    <row r="9" spans="1:15">
      <c r="B9" s="162" t="s">
        <v>380</v>
      </c>
      <c r="C9" s="161" t="s">
        <v>381</v>
      </c>
      <c r="D9" s="161" t="s">
        <v>381</v>
      </c>
      <c r="E9" s="425" t="s">
        <v>381</v>
      </c>
      <c r="F9" s="161" t="s">
        <v>381</v>
      </c>
      <c r="G9" s="161" t="s">
        <v>381</v>
      </c>
      <c r="H9" s="414" t="s">
        <v>381</v>
      </c>
      <c r="I9" s="161" t="s">
        <v>1065</v>
      </c>
      <c r="J9" s="352" t="s">
        <v>1066</v>
      </c>
      <c r="K9" s="352" t="s">
        <v>1066</v>
      </c>
      <c r="L9" s="360" t="s">
        <v>1067</v>
      </c>
      <c r="M9" s="161" t="s">
        <v>381</v>
      </c>
      <c r="N9" s="161" t="s">
        <v>381</v>
      </c>
      <c r="O9" s="2"/>
    </row>
    <row r="10" spans="1:15">
      <c r="B10" s="117" t="s">
        <v>347</v>
      </c>
      <c r="C10" s="118" t="s">
        <v>762</v>
      </c>
      <c r="D10" s="118" t="s">
        <v>762</v>
      </c>
      <c r="E10" s="118" t="s">
        <v>1535</v>
      </c>
      <c r="F10" s="118" t="s">
        <v>762</v>
      </c>
      <c r="G10" s="118" t="s">
        <v>762</v>
      </c>
      <c r="H10" s="415" t="s">
        <v>1509</v>
      </c>
      <c r="I10" s="118" t="s">
        <v>761</v>
      </c>
      <c r="J10" s="353" t="s">
        <v>761</v>
      </c>
      <c r="K10" s="353" t="s">
        <v>761</v>
      </c>
      <c r="L10" s="361" t="s">
        <v>761</v>
      </c>
      <c r="M10" s="118" t="s">
        <v>990</v>
      </c>
      <c r="N10" s="118" t="s">
        <v>762</v>
      </c>
      <c r="O10" s="2"/>
    </row>
    <row r="11" spans="1:15">
      <c r="B11" s="119" t="s">
        <v>383</v>
      </c>
      <c r="C11" s="361" t="s">
        <v>209</v>
      </c>
      <c r="D11" s="361" t="s">
        <v>209</v>
      </c>
      <c r="E11" s="361" t="s">
        <v>209</v>
      </c>
      <c r="F11" s="118" t="s">
        <v>384</v>
      </c>
      <c r="G11" s="118" t="s">
        <v>384</v>
      </c>
      <c r="H11" s="415" t="s">
        <v>384</v>
      </c>
      <c r="I11" s="118" t="s">
        <v>384</v>
      </c>
      <c r="J11" s="353" t="s">
        <v>384</v>
      </c>
      <c r="K11" s="353" t="s">
        <v>384</v>
      </c>
      <c r="L11" s="361" t="s">
        <v>384</v>
      </c>
      <c r="M11" s="118" t="s">
        <v>209</v>
      </c>
      <c r="N11" s="119"/>
      <c r="O11" s="2"/>
    </row>
    <row r="12" spans="1:15">
      <c r="B12" s="119" t="s">
        <v>429</v>
      </c>
      <c r="C12" s="361"/>
      <c r="D12" s="361"/>
      <c r="E12" s="426"/>
      <c r="F12" s="118"/>
      <c r="G12" s="118"/>
      <c r="H12" s="415"/>
      <c r="I12" s="118"/>
      <c r="J12" s="353"/>
      <c r="K12" s="2"/>
      <c r="L12" s="361"/>
      <c r="M12" s="118"/>
      <c r="N12" s="119"/>
      <c r="O12" s="2"/>
    </row>
    <row r="13" spans="1:15">
      <c r="A13" s="110"/>
      <c r="B13" s="117" t="s">
        <v>346</v>
      </c>
      <c r="C13" s="362" t="s">
        <v>1537</v>
      </c>
      <c r="D13" s="362" t="s">
        <v>1613</v>
      </c>
      <c r="E13" s="362" t="s">
        <v>1538</v>
      </c>
      <c r="F13" s="332" t="s">
        <v>598</v>
      </c>
      <c r="G13" s="332" t="s">
        <v>1785</v>
      </c>
      <c r="H13" s="416" t="s">
        <v>1373</v>
      </c>
      <c r="I13" s="332" t="s">
        <v>768</v>
      </c>
      <c r="J13" s="354" t="s">
        <v>1045</v>
      </c>
      <c r="K13" s="354" t="s">
        <v>1111</v>
      </c>
      <c r="L13" s="362" t="s">
        <v>1046</v>
      </c>
      <c r="M13" s="299" t="s">
        <v>987</v>
      </c>
      <c r="N13" s="261" t="s">
        <v>489</v>
      </c>
      <c r="O13" s="2"/>
    </row>
    <row r="14" spans="1:15">
      <c r="A14" s="110"/>
      <c r="B14" s="117" t="s">
        <v>386</v>
      </c>
      <c r="C14" s="118" t="s">
        <v>387</v>
      </c>
      <c r="D14" s="118" t="s">
        <v>387</v>
      </c>
      <c r="E14" s="427" t="s">
        <v>387</v>
      </c>
      <c r="F14" s="118" t="s">
        <v>387</v>
      </c>
      <c r="G14" s="118" t="s">
        <v>387</v>
      </c>
      <c r="H14" s="415" t="s">
        <v>387</v>
      </c>
      <c r="I14" s="118" t="s">
        <v>387</v>
      </c>
      <c r="J14" s="353" t="s">
        <v>387</v>
      </c>
      <c r="K14" s="353" t="s">
        <v>387</v>
      </c>
      <c r="L14" s="361" t="s">
        <v>387</v>
      </c>
      <c r="M14" s="118" t="s">
        <v>387</v>
      </c>
      <c r="N14" s="118" t="s">
        <v>387</v>
      </c>
      <c r="O14" s="2"/>
    </row>
    <row r="15" spans="1:15" ht="28">
      <c r="A15" s="110"/>
      <c r="B15" s="117" t="s">
        <v>388</v>
      </c>
      <c r="C15" s="118" t="s">
        <v>389</v>
      </c>
      <c r="D15" s="118" t="s">
        <v>389</v>
      </c>
      <c r="E15" s="427" t="s">
        <v>389</v>
      </c>
      <c r="F15" s="118" t="s">
        <v>389</v>
      </c>
      <c r="G15" s="118" t="s">
        <v>389</v>
      </c>
      <c r="H15" s="415" t="s">
        <v>389</v>
      </c>
      <c r="I15" s="118" t="s">
        <v>389</v>
      </c>
      <c r="J15" s="353" t="s">
        <v>389</v>
      </c>
      <c r="K15" s="353" t="s">
        <v>1115</v>
      </c>
      <c r="L15" s="361" t="s">
        <v>389</v>
      </c>
      <c r="M15" s="118" t="s">
        <v>389</v>
      </c>
      <c r="N15" s="118" t="s">
        <v>389</v>
      </c>
      <c r="O15" s="2"/>
    </row>
    <row r="16" spans="1:15">
      <c r="A16" s="110"/>
      <c r="B16" s="117" t="s">
        <v>390</v>
      </c>
      <c r="C16" s="118" t="s">
        <v>391</v>
      </c>
      <c r="D16" s="118" t="s">
        <v>391</v>
      </c>
      <c r="E16" s="427" t="s">
        <v>391</v>
      </c>
      <c r="F16" s="118" t="s">
        <v>391</v>
      </c>
      <c r="G16" s="118" t="s">
        <v>391</v>
      </c>
      <c r="H16" s="415" t="s">
        <v>391</v>
      </c>
      <c r="I16" s="118" t="s">
        <v>391</v>
      </c>
      <c r="J16" s="353" t="s">
        <v>391</v>
      </c>
      <c r="K16" s="353" t="s">
        <v>391</v>
      </c>
      <c r="L16" s="361" t="s">
        <v>391</v>
      </c>
      <c r="M16" s="118" t="s">
        <v>391</v>
      </c>
      <c r="N16" s="118" t="s">
        <v>391</v>
      </c>
      <c r="O16" s="2"/>
    </row>
    <row r="17" spans="1:21">
      <c r="A17" s="110"/>
      <c r="B17" s="119" t="s">
        <v>428</v>
      </c>
      <c r="C17" s="118"/>
      <c r="D17" s="118"/>
      <c r="E17" s="427"/>
      <c r="F17" s="118"/>
      <c r="G17" s="118"/>
      <c r="H17" s="415"/>
      <c r="I17" s="118"/>
      <c r="J17" s="353"/>
      <c r="K17" s="353"/>
      <c r="L17" s="361"/>
      <c r="M17" s="118"/>
      <c r="N17" s="119"/>
      <c r="O17" s="2"/>
    </row>
    <row r="18" spans="1:21">
      <c r="A18" s="110"/>
      <c r="B18" s="118" t="s">
        <v>392</v>
      </c>
      <c r="C18" s="118" t="s">
        <v>475</v>
      </c>
      <c r="D18" s="118" t="s">
        <v>475</v>
      </c>
      <c r="E18" s="427" t="s">
        <v>475</v>
      </c>
      <c r="F18" s="118" t="s">
        <v>475</v>
      </c>
      <c r="G18" s="118" t="s">
        <v>475</v>
      </c>
      <c r="H18" s="415" t="s">
        <v>475</v>
      </c>
      <c r="I18" s="118" t="s">
        <v>475</v>
      </c>
      <c r="J18" s="353" t="s">
        <v>475</v>
      </c>
      <c r="K18" s="353" t="s">
        <v>475</v>
      </c>
      <c r="L18" s="361" t="s">
        <v>475</v>
      </c>
      <c r="M18" s="118" t="s">
        <v>1049</v>
      </c>
      <c r="N18" s="118" t="s">
        <v>475</v>
      </c>
      <c r="O18" s="2"/>
    </row>
    <row r="19" spans="1:21">
      <c r="A19" s="110"/>
      <c r="B19" s="117"/>
      <c r="C19" s="429" t="s">
        <v>1539</v>
      </c>
      <c r="D19" s="429" t="s">
        <v>1005</v>
      </c>
      <c r="E19" s="429" t="s">
        <v>546</v>
      </c>
      <c r="F19" s="129" t="s">
        <v>548</v>
      </c>
      <c r="G19" s="118" t="s">
        <v>763</v>
      </c>
      <c r="H19" s="415" t="s">
        <v>1507</v>
      </c>
      <c r="I19" s="129" t="s">
        <v>548</v>
      </c>
      <c r="J19" s="355" t="s">
        <v>548</v>
      </c>
      <c r="K19" s="355" t="s">
        <v>548</v>
      </c>
      <c r="L19" s="363" t="s">
        <v>548</v>
      </c>
      <c r="M19" s="286" t="s">
        <v>1005</v>
      </c>
      <c r="N19" s="118" t="s">
        <v>546</v>
      </c>
      <c r="O19" s="2" t="s">
        <v>393</v>
      </c>
      <c r="P19" s="2"/>
      <c r="U19" s="2" t="s">
        <v>393</v>
      </c>
    </row>
    <row r="20" spans="1:21">
      <c r="A20" s="110"/>
      <c r="B20" s="119" t="s">
        <v>235</v>
      </c>
      <c r="C20" s="118"/>
      <c r="D20" s="118"/>
      <c r="E20" s="427"/>
      <c r="F20" s="118"/>
      <c r="G20" s="118"/>
      <c r="H20" s="415"/>
      <c r="I20" s="118"/>
      <c r="J20" s="353"/>
      <c r="K20" s="2"/>
      <c r="L20" s="361"/>
      <c r="M20" s="118"/>
      <c r="N20" s="119"/>
      <c r="O20" s="2"/>
    </row>
    <row r="21" spans="1:21">
      <c r="A21" s="110"/>
      <c r="B21" s="117" t="s">
        <v>349</v>
      </c>
      <c r="C21" s="2" t="s">
        <v>985</v>
      </c>
      <c r="D21" s="2" t="s">
        <v>985</v>
      </c>
      <c r="E21" t="s">
        <v>492</v>
      </c>
      <c r="F21" s="118" t="s">
        <v>549</v>
      </c>
      <c r="G21" s="118" t="s">
        <v>549</v>
      </c>
      <c r="H21" s="339" t="s">
        <v>492</v>
      </c>
      <c r="I21" t="s">
        <v>492</v>
      </c>
      <c r="J21" s="353" t="s">
        <v>549</v>
      </c>
      <c r="K21" s="353" t="s">
        <v>549</v>
      </c>
      <c r="L21" s="164" t="s">
        <v>492</v>
      </c>
      <c r="M21" s="2" t="s">
        <v>985</v>
      </c>
      <c r="N21" t="s">
        <v>492</v>
      </c>
      <c r="O21" s="2"/>
    </row>
    <row r="22" spans="1:21">
      <c r="A22" s="110"/>
      <c r="B22" s="117" t="s">
        <v>399</v>
      </c>
      <c r="C22" s="118" t="s">
        <v>550</v>
      </c>
      <c r="D22" s="118" t="s">
        <v>550</v>
      </c>
      <c r="E22" s="128" t="s">
        <v>1617</v>
      </c>
      <c r="F22" s="118" t="s">
        <v>550</v>
      </c>
      <c r="G22" s="118" t="s">
        <v>550</v>
      </c>
      <c r="H22" s="415"/>
      <c r="I22" s="128" t="s">
        <v>544</v>
      </c>
      <c r="J22" s="353" t="s">
        <v>550</v>
      </c>
      <c r="K22" s="128" t="s">
        <v>1116</v>
      </c>
      <c r="L22" s="364" t="s">
        <v>544</v>
      </c>
      <c r="M22" s="128" t="s">
        <v>986</v>
      </c>
      <c r="N22" s="128" t="s">
        <v>400</v>
      </c>
      <c r="O22" s="2"/>
    </row>
    <row r="23" spans="1:21">
      <c r="A23" s="110"/>
      <c r="B23" s="118" t="s">
        <v>350</v>
      </c>
      <c r="C23" s="120">
        <v>16000</v>
      </c>
      <c r="D23" s="120">
        <v>16000</v>
      </c>
      <c r="E23" s="120">
        <v>3000</v>
      </c>
      <c r="F23" s="120">
        <v>16000</v>
      </c>
      <c r="G23" s="120">
        <v>16000</v>
      </c>
      <c r="H23" s="417"/>
      <c r="I23" s="120">
        <v>3000</v>
      </c>
      <c r="J23" s="356">
        <v>3000</v>
      </c>
      <c r="K23" s="120">
        <v>3000</v>
      </c>
      <c r="L23" s="365">
        <v>3000</v>
      </c>
      <c r="M23" s="120">
        <v>16000</v>
      </c>
      <c r="N23" s="120">
        <v>3000</v>
      </c>
      <c r="O23" s="2"/>
    </row>
    <row r="24" spans="1:21">
      <c r="A24" s="110"/>
      <c r="B24" s="118" t="s">
        <v>351</v>
      </c>
      <c r="C24" s="120">
        <v>400</v>
      </c>
      <c r="D24" s="120">
        <v>400</v>
      </c>
      <c r="E24" s="120" t="s">
        <v>545</v>
      </c>
      <c r="F24" s="120">
        <v>400</v>
      </c>
      <c r="G24" s="120">
        <v>400</v>
      </c>
      <c r="H24" s="415"/>
      <c r="I24" s="120" t="s">
        <v>545</v>
      </c>
      <c r="J24" s="353"/>
      <c r="K24" s="120" t="s">
        <v>545</v>
      </c>
      <c r="L24" s="365" t="s">
        <v>545</v>
      </c>
      <c r="M24" s="120" t="s">
        <v>545</v>
      </c>
      <c r="N24" s="118" t="s">
        <v>402</v>
      </c>
      <c r="O24" s="2" t="s">
        <v>401</v>
      </c>
    </row>
    <row r="25" spans="1:21">
      <c r="A25" s="110"/>
      <c r="B25" s="118" t="s">
        <v>403</v>
      </c>
      <c r="C25" s="120" t="s">
        <v>404</v>
      </c>
      <c r="D25" s="120" t="s">
        <v>404</v>
      </c>
      <c r="E25" s="428" t="s">
        <v>404</v>
      </c>
      <c r="F25" s="120" t="s">
        <v>404</v>
      </c>
      <c r="G25" s="120" t="s">
        <v>404</v>
      </c>
      <c r="H25" s="417" t="s">
        <v>404</v>
      </c>
      <c r="I25" s="120" t="s">
        <v>404</v>
      </c>
      <c r="J25" s="356" t="s">
        <v>404</v>
      </c>
      <c r="K25" s="356" t="s">
        <v>404</v>
      </c>
      <c r="L25" s="365" t="s">
        <v>404</v>
      </c>
      <c r="M25" s="120" t="s">
        <v>404</v>
      </c>
      <c r="N25" s="120" t="s">
        <v>404</v>
      </c>
      <c r="O25" s="2"/>
    </row>
    <row r="26" spans="1:21">
      <c r="A26" s="110"/>
      <c r="B26" s="118" t="s">
        <v>405</v>
      </c>
      <c r="C26" s="120">
        <v>15000</v>
      </c>
      <c r="D26" s="120">
        <v>15000</v>
      </c>
      <c r="E26" s="428"/>
      <c r="F26" s="120">
        <v>12000</v>
      </c>
      <c r="G26" s="120">
        <v>12000</v>
      </c>
      <c r="H26" s="417"/>
      <c r="I26" s="120">
        <v>2000</v>
      </c>
      <c r="J26" s="356">
        <v>10000</v>
      </c>
      <c r="K26" s="365">
        <v>4000</v>
      </c>
      <c r="L26" s="365">
        <v>2000</v>
      </c>
      <c r="M26" s="120">
        <v>4500</v>
      </c>
      <c r="N26" s="120">
        <v>4000</v>
      </c>
      <c r="O26" s="2"/>
    </row>
    <row r="27" spans="1:21">
      <c r="A27" s="110"/>
      <c r="B27" s="119" t="s">
        <v>406</v>
      </c>
      <c r="C27" s="118"/>
      <c r="D27" s="118"/>
      <c r="E27" s="415"/>
      <c r="F27" s="118"/>
      <c r="G27" s="118"/>
      <c r="H27" s="415"/>
      <c r="I27" s="118"/>
      <c r="J27" s="353"/>
      <c r="K27" s="2"/>
      <c r="L27" s="361"/>
      <c r="M27" s="118"/>
      <c r="N27" s="119"/>
      <c r="O27" s="2"/>
    </row>
    <row r="28" spans="1:21">
      <c r="A28" s="110"/>
      <c r="B28" s="121" t="s">
        <v>407</v>
      </c>
      <c r="C28" s="118" t="s">
        <v>1536</v>
      </c>
      <c r="D28" s="118" t="s">
        <v>468</v>
      </c>
      <c r="E28" s="118" t="s">
        <v>1536</v>
      </c>
      <c r="F28" s="129" t="s">
        <v>468</v>
      </c>
      <c r="G28" s="118" t="s">
        <v>468</v>
      </c>
      <c r="H28" s="415"/>
      <c r="I28" s="129" t="s">
        <v>468</v>
      </c>
      <c r="J28" s="363" t="s">
        <v>468</v>
      </c>
      <c r="K28" s="363" t="s">
        <v>468</v>
      </c>
      <c r="L28" s="363" t="s">
        <v>468</v>
      </c>
      <c r="M28" s="118" t="s">
        <v>242</v>
      </c>
      <c r="N28" s="118" t="s">
        <v>468</v>
      </c>
      <c r="O28" s="2"/>
    </row>
    <row r="29" spans="1:21">
      <c r="A29" s="110"/>
      <c r="B29" s="119" t="s">
        <v>408</v>
      </c>
      <c r="C29" s="118"/>
      <c r="D29" s="118"/>
      <c r="E29" s="415"/>
      <c r="F29" s="118"/>
      <c r="G29" s="118"/>
      <c r="H29" s="415"/>
      <c r="I29" s="118"/>
      <c r="J29" s="353"/>
      <c r="K29" s="2"/>
      <c r="L29" s="361"/>
      <c r="M29" s="118"/>
      <c r="N29" s="118"/>
      <c r="O29" s="2"/>
    </row>
    <row r="30" spans="1:21">
      <c r="A30" s="110"/>
      <c r="B30" s="118" t="s">
        <v>409</v>
      </c>
      <c r="C30" s="120" t="b">
        <v>1</v>
      </c>
      <c r="D30" s="120"/>
      <c r="E30" s="120" t="b">
        <v>1</v>
      </c>
      <c r="F30" s="120" t="s">
        <v>253</v>
      </c>
      <c r="G30" s="120" t="b">
        <v>1</v>
      </c>
      <c r="H30" s="417"/>
      <c r="I30" s="120" t="s">
        <v>253</v>
      </c>
      <c r="J30" s="120" t="s">
        <v>253</v>
      </c>
      <c r="K30" s="120" t="s">
        <v>253</v>
      </c>
      <c r="L30" s="120" t="s">
        <v>253</v>
      </c>
      <c r="M30" s="120" t="s">
        <v>253</v>
      </c>
      <c r="N30" s="120" t="b">
        <v>1</v>
      </c>
      <c r="O30" s="2"/>
    </row>
    <row r="31" spans="1:21">
      <c r="A31" s="110"/>
      <c r="B31" s="118" t="s">
        <v>410</v>
      </c>
      <c r="C31" s="130" t="s">
        <v>411</v>
      </c>
      <c r="D31" s="130" t="s">
        <v>411</v>
      </c>
      <c r="E31" s="415"/>
      <c r="F31" s="130"/>
      <c r="G31" s="130" t="s">
        <v>411</v>
      </c>
      <c r="H31" s="415"/>
      <c r="I31" s="130"/>
      <c r="J31" s="357"/>
      <c r="K31" s="2"/>
      <c r="L31" s="366"/>
      <c r="M31" s="130"/>
      <c r="N31" s="130" t="s">
        <v>411</v>
      </c>
      <c r="O31" s="2"/>
    </row>
    <row r="32" spans="1:21">
      <c r="A32" s="110"/>
      <c r="B32" s="118" t="s">
        <v>412</v>
      </c>
      <c r="C32" s="130" t="s">
        <v>413</v>
      </c>
      <c r="D32" s="130" t="s">
        <v>413</v>
      </c>
      <c r="E32" s="415"/>
      <c r="F32" s="130"/>
      <c r="G32" s="130" t="s">
        <v>413</v>
      </c>
      <c r="H32" s="415"/>
      <c r="I32" s="130"/>
      <c r="J32" s="329"/>
      <c r="K32" s="2"/>
      <c r="L32" s="329"/>
      <c r="M32" s="22" t="s">
        <v>1007</v>
      </c>
      <c r="N32" s="130" t="s">
        <v>413</v>
      </c>
      <c r="O32" s="2" t="s">
        <v>414</v>
      </c>
    </row>
    <row r="33" spans="1:15">
      <c r="A33" s="110"/>
      <c r="B33" s="117" t="s">
        <v>352</v>
      </c>
      <c r="C33" s="118" t="s">
        <v>473</v>
      </c>
      <c r="D33" s="118" t="s">
        <v>473</v>
      </c>
      <c r="E33" s="415"/>
      <c r="F33" s="118" t="s">
        <v>473</v>
      </c>
      <c r="G33" s="118" t="s">
        <v>473</v>
      </c>
      <c r="H33" s="415"/>
      <c r="I33" s="118" t="s">
        <v>473</v>
      </c>
      <c r="J33" s="353"/>
      <c r="K33" s="2"/>
      <c r="L33" s="361"/>
      <c r="M33" s="118" t="s">
        <v>473</v>
      </c>
      <c r="N33" s="118" t="s">
        <v>473</v>
      </c>
      <c r="O33" s="2"/>
    </row>
    <row r="34" spans="1:15" ht="28">
      <c r="A34" s="110"/>
      <c r="B34" s="117" t="s">
        <v>474</v>
      </c>
      <c r="C34" s="111"/>
      <c r="D34" s="111"/>
      <c r="E34" s="111"/>
      <c r="F34" s="118" t="s">
        <v>415</v>
      </c>
      <c r="G34" s="260" t="s">
        <v>415</v>
      </c>
      <c r="H34" s="415"/>
      <c r="I34" s="118"/>
      <c r="J34" s="111"/>
      <c r="K34" s="2"/>
      <c r="L34" s="111"/>
      <c r="M34" s="287" t="s">
        <v>1008</v>
      </c>
      <c r="N34" s="118" t="s">
        <v>415</v>
      </c>
      <c r="O34" s="2"/>
    </row>
    <row r="35" spans="1:15">
      <c r="A35" s="110"/>
      <c r="B35" s="117"/>
      <c r="C35" s="111"/>
      <c r="D35" s="111"/>
      <c r="E35" s="111"/>
      <c r="F35" s="118" t="s">
        <v>1513</v>
      </c>
      <c r="G35" s="118" t="s">
        <v>1512</v>
      </c>
      <c r="H35" s="415"/>
      <c r="I35" s="118" t="s">
        <v>1512</v>
      </c>
      <c r="J35" s="111"/>
      <c r="K35" s="2"/>
      <c r="L35" s="111"/>
      <c r="M35" s="287" t="s">
        <v>1009</v>
      </c>
      <c r="N35" s="118"/>
      <c r="O35" s="2"/>
    </row>
    <row r="36" spans="1:15">
      <c r="A36" s="110"/>
      <c r="B36" s="121" t="s">
        <v>416</v>
      </c>
      <c r="C36" s="361"/>
      <c r="D36" s="361"/>
      <c r="E36" s="361"/>
      <c r="F36" s="118" t="s">
        <v>472</v>
      </c>
      <c r="G36" s="118" t="s">
        <v>472</v>
      </c>
      <c r="H36" s="415"/>
      <c r="I36" s="118" t="s">
        <v>472</v>
      </c>
      <c r="J36" s="353" t="s">
        <v>472</v>
      </c>
      <c r="K36" s="2"/>
      <c r="L36" s="361" t="s">
        <v>472</v>
      </c>
      <c r="M36" s="118" t="s">
        <v>472</v>
      </c>
      <c r="N36" s="118" t="s">
        <v>472</v>
      </c>
      <c r="O36" s="2"/>
    </row>
    <row r="37" spans="1:15">
      <c r="B37" s="2" t="s">
        <v>417</v>
      </c>
      <c r="C37" s="111"/>
      <c r="D37" s="111"/>
      <c r="E37" s="111"/>
      <c r="F37" s="118" t="s">
        <v>469</v>
      </c>
      <c r="G37" s="118" t="s">
        <v>469</v>
      </c>
      <c r="H37" s="415"/>
      <c r="I37" s="118" t="s">
        <v>469</v>
      </c>
      <c r="J37" s="353" t="s">
        <v>469</v>
      </c>
      <c r="K37" s="2"/>
      <c r="L37" s="361" t="s">
        <v>469</v>
      </c>
      <c r="M37" s="22" t="s">
        <v>1006</v>
      </c>
      <c r="N37" s="118" t="s">
        <v>469</v>
      </c>
      <c r="O37" s="2"/>
    </row>
    <row r="38" spans="1:15">
      <c r="B38" s="2"/>
      <c r="C38" s="367"/>
      <c r="D38" s="367"/>
      <c r="E38" s="367"/>
      <c r="F38" s="122" t="s">
        <v>418</v>
      </c>
      <c r="G38" s="122"/>
      <c r="H38" s="418"/>
      <c r="I38" s="122"/>
      <c r="J38" s="358"/>
      <c r="K38" s="2"/>
      <c r="L38" s="367"/>
      <c r="M38" s="122"/>
      <c r="N38" s="122" t="s">
        <v>418</v>
      </c>
      <c r="O38" s="2"/>
    </row>
    <row r="39" spans="1:15">
      <c r="B39" s="2"/>
      <c r="C39" s="361"/>
      <c r="D39" s="361"/>
      <c r="E39" s="361"/>
      <c r="F39" s="118" t="s">
        <v>419</v>
      </c>
      <c r="G39" s="118"/>
      <c r="H39" s="415"/>
      <c r="I39" s="118"/>
      <c r="J39" s="353"/>
      <c r="K39" s="2"/>
      <c r="L39" s="361"/>
      <c r="M39" s="118"/>
      <c r="N39" s="118" t="s">
        <v>419</v>
      </c>
      <c r="O39" s="2"/>
    </row>
    <row r="40" spans="1:15">
      <c r="B40" s="118" t="s">
        <v>420</v>
      </c>
      <c r="C40" s="118" t="s">
        <v>421</v>
      </c>
      <c r="D40" s="118" t="s">
        <v>421</v>
      </c>
      <c r="E40" s="118" t="s">
        <v>421</v>
      </c>
      <c r="F40" s="118" t="s">
        <v>421</v>
      </c>
      <c r="G40" s="118" t="s">
        <v>421</v>
      </c>
      <c r="H40" s="415"/>
      <c r="I40" s="118" t="s">
        <v>421</v>
      </c>
      <c r="J40" s="353" t="s">
        <v>1047</v>
      </c>
      <c r="K40" s="353" t="s">
        <v>1047</v>
      </c>
      <c r="L40" s="361" t="s">
        <v>421</v>
      </c>
      <c r="M40" s="118" t="s">
        <v>1010</v>
      </c>
      <c r="N40" s="118" t="s">
        <v>421</v>
      </c>
      <c r="O40" s="2"/>
    </row>
    <row r="41" spans="1:15">
      <c r="B41" s="2" t="s">
        <v>422</v>
      </c>
      <c r="C41" s="49">
        <v>1433</v>
      </c>
      <c r="D41" s="49">
        <v>1433</v>
      </c>
      <c r="E41" s="49">
        <v>1433</v>
      </c>
      <c r="F41" s="49">
        <v>1433</v>
      </c>
      <c r="G41" s="49">
        <v>1433</v>
      </c>
      <c r="H41" s="419"/>
      <c r="I41" s="49">
        <v>1433</v>
      </c>
      <c r="J41" s="359">
        <v>1433</v>
      </c>
      <c r="K41" s="359">
        <v>1433</v>
      </c>
      <c r="L41" s="368">
        <v>1433</v>
      </c>
      <c r="M41" s="49">
        <v>1433</v>
      </c>
      <c r="N41" s="49">
        <v>1433</v>
      </c>
      <c r="O41" s="2"/>
    </row>
    <row r="42" spans="1:15">
      <c r="B42" s="64" t="s">
        <v>423</v>
      </c>
      <c r="C42" s="118"/>
      <c r="D42" s="118"/>
      <c r="E42" s="118"/>
      <c r="F42" s="118"/>
      <c r="G42" s="118"/>
      <c r="H42" s="415"/>
      <c r="I42" s="118"/>
      <c r="J42" s="353"/>
      <c r="K42" s="2"/>
      <c r="L42" s="361"/>
      <c r="M42" s="118"/>
      <c r="N42" s="64"/>
      <c r="O42" s="2"/>
    </row>
    <row r="43" spans="1:15">
      <c r="B43" s="118" t="s">
        <v>424</v>
      </c>
      <c r="C43" s="120" t="b">
        <v>1</v>
      </c>
      <c r="D43" s="120" t="b">
        <v>1</v>
      </c>
      <c r="E43" s="120" t="b">
        <v>1</v>
      </c>
      <c r="F43" s="120" t="b">
        <v>1</v>
      </c>
      <c r="G43" s="120" t="b">
        <v>1</v>
      </c>
      <c r="H43" s="417"/>
      <c r="I43" s="120" t="b">
        <v>1</v>
      </c>
      <c r="J43" s="356" t="s">
        <v>1048</v>
      </c>
      <c r="K43" s="2"/>
      <c r="L43" s="365" t="s">
        <v>1048</v>
      </c>
      <c r="M43" s="120" t="b">
        <v>1</v>
      </c>
      <c r="N43" s="120" t="b">
        <v>1</v>
      </c>
      <c r="O43" s="2"/>
    </row>
    <row r="44" spans="1:15">
      <c r="B44" s="118" t="s">
        <v>470</v>
      </c>
      <c r="C44" s="365" t="s">
        <v>45</v>
      </c>
      <c r="D44" s="365" t="s">
        <v>52</v>
      </c>
      <c r="E44" s="365" t="s">
        <v>52</v>
      </c>
      <c r="F44" s="120" t="s">
        <v>471</v>
      </c>
      <c r="G44" s="120" t="s">
        <v>471</v>
      </c>
      <c r="H44" s="417"/>
      <c r="I44" s="120" t="s">
        <v>471</v>
      </c>
      <c r="J44" s="356"/>
      <c r="K44" s="2"/>
      <c r="L44" s="365"/>
      <c r="M44" s="120" t="s">
        <v>1011</v>
      </c>
      <c r="N44" s="120" t="s">
        <v>471</v>
      </c>
      <c r="O44" s="2"/>
    </row>
    <row r="45" spans="1:15">
      <c r="B45" s="64" t="s">
        <v>425</v>
      </c>
      <c r="C45" s="118" t="s">
        <v>426</v>
      </c>
      <c r="D45" s="118" t="s">
        <v>426</v>
      </c>
      <c r="E45" s="118" t="s">
        <v>426</v>
      </c>
      <c r="F45" s="118" t="s">
        <v>426</v>
      </c>
      <c r="G45" s="118" t="s">
        <v>426</v>
      </c>
      <c r="H45" s="415"/>
      <c r="I45" s="118" t="s">
        <v>426</v>
      </c>
      <c r="J45" s="353"/>
      <c r="K45" s="2"/>
      <c r="L45" s="361"/>
      <c r="M45" s="118" t="s">
        <v>988</v>
      </c>
      <c r="N45" s="118" t="s">
        <v>426</v>
      </c>
      <c r="O45" s="2"/>
    </row>
    <row r="46" spans="1:15">
      <c r="B46" s="64" t="s">
        <v>427</v>
      </c>
      <c r="C46" s="164"/>
      <c r="D46" s="164"/>
      <c r="E46" s="164"/>
      <c r="F46" s="2"/>
      <c r="G46" s="2"/>
      <c r="H46" s="420"/>
      <c r="I46" s="2"/>
      <c r="J46" s="25"/>
      <c r="K46" s="2"/>
      <c r="L46" s="164"/>
      <c r="M46" s="2"/>
      <c r="N46" s="2"/>
      <c r="O46" s="2"/>
    </row>
    <row r="47" spans="1:15">
      <c r="B47" s="2" t="s">
        <v>431</v>
      </c>
      <c r="C47" s="118" t="s">
        <v>430</v>
      </c>
      <c r="D47" s="118" t="s">
        <v>430</v>
      </c>
      <c r="E47" s="118" t="s">
        <v>430</v>
      </c>
      <c r="F47" s="118" t="s">
        <v>430</v>
      </c>
      <c r="G47" s="118" t="s">
        <v>430</v>
      </c>
      <c r="H47" s="415"/>
      <c r="I47" s="118" t="s">
        <v>430</v>
      </c>
      <c r="J47" s="353" t="s">
        <v>430</v>
      </c>
      <c r="K47" s="353" t="s">
        <v>430</v>
      </c>
      <c r="L47" s="361" t="s">
        <v>430</v>
      </c>
      <c r="M47" s="118" t="s">
        <v>430</v>
      </c>
      <c r="N47" s="118" t="s">
        <v>430</v>
      </c>
      <c r="O47" s="2"/>
    </row>
    <row r="48" spans="1:15">
      <c r="B48" s="2" t="s">
        <v>432</v>
      </c>
      <c r="C48" s="118" t="s">
        <v>433</v>
      </c>
      <c r="D48" s="118" t="s">
        <v>433</v>
      </c>
      <c r="E48" s="118" t="s">
        <v>433</v>
      </c>
      <c r="F48" s="118" t="s">
        <v>433</v>
      </c>
      <c r="G48" s="118" t="s">
        <v>433</v>
      </c>
      <c r="H48" s="415"/>
      <c r="I48" s="118" t="s">
        <v>433</v>
      </c>
      <c r="J48" s="353" t="s">
        <v>433</v>
      </c>
      <c r="K48" s="353" t="s">
        <v>1112</v>
      </c>
      <c r="L48" s="361" t="s">
        <v>433</v>
      </c>
      <c r="M48" s="118" t="s">
        <v>433</v>
      </c>
      <c r="N48" s="118" t="s">
        <v>433</v>
      </c>
      <c r="O48" s="2"/>
    </row>
    <row r="49" spans="2:16">
      <c r="B49" s="2" t="s">
        <v>434</v>
      </c>
      <c r="C49" s="118" t="s">
        <v>435</v>
      </c>
      <c r="D49" s="118" t="s">
        <v>435</v>
      </c>
      <c r="E49" s="118" t="s">
        <v>435</v>
      </c>
      <c r="F49" s="118" t="s">
        <v>435</v>
      </c>
      <c r="G49" s="118" t="s">
        <v>435</v>
      </c>
      <c r="H49" s="415"/>
      <c r="I49" s="118" t="s">
        <v>435</v>
      </c>
      <c r="J49" s="353" t="s">
        <v>435</v>
      </c>
      <c r="K49" s="353" t="s">
        <v>435</v>
      </c>
      <c r="L49" s="361" t="s">
        <v>435</v>
      </c>
      <c r="M49" s="118" t="s">
        <v>435</v>
      </c>
      <c r="N49" s="118" t="s">
        <v>435</v>
      </c>
      <c r="O49" s="2"/>
      <c r="P49" s="111"/>
    </row>
    <row r="50" spans="2:16">
      <c r="B50" s="2" t="s">
        <v>436</v>
      </c>
      <c r="C50" s="118" t="s">
        <v>437</v>
      </c>
      <c r="D50" s="118" t="s">
        <v>437</v>
      </c>
      <c r="E50" s="118" t="s">
        <v>437</v>
      </c>
      <c r="F50" s="118" t="s">
        <v>437</v>
      </c>
      <c r="G50" s="118" t="s">
        <v>437</v>
      </c>
      <c r="H50" s="415"/>
      <c r="I50" s="118" t="s">
        <v>437</v>
      </c>
      <c r="J50" s="353" t="s">
        <v>437</v>
      </c>
      <c r="K50" s="353" t="s">
        <v>437</v>
      </c>
      <c r="L50" s="361" t="s">
        <v>437</v>
      </c>
      <c r="M50" s="118" t="s">
        <v>437</v>
      </c>
      <c r="N50" s="118" t="s">
        <v>437</v>
      </c>
      <c r="O50" s="2"/>
    </row>
    <row r="51" spans="2:16">
      <c r="B51" s="2" t="s">
        <v>438</v>
      </c>
      <c r="C51" s="118" t="s">
        <v>439</v>
      </c>
      <c r="D51" s="118" t="s">
        <v>439</v>
      </c>
      <c r="E51" s="118" t="s">
        <v>439</v>
      </c>
      <c r="F51" s="118" t="s">
        <v>439</v>
      </c>
      <c r="G51" s="118" t="s">
        <v>439</v>
      </c>
      <c r="H51" s="415"/>
      <c r="I51" s="118" t="s">
        <v>439</v>
      </c>
      <c r="J51" s="353" t="s">
        <v>439</v>
      </c>
      <c r="K51" s="353" t="s">
        <v>439</v>
      </c>
      <c r="L51" s="361" t="s">
        <v>439</v>
      </c>
      <c r="M51" s="118" t="s">
        <v>439</v>
      </c>
      <c r="N51" s="118" t="s">
        <v>439</v>
      </c>
      <c r="O51" s="2"/>
    </row>
    <row r="52" spans="2:16">
      <c r="B52" s="2" t="s">
        <v>440</v>
      </c>
      <c r="C52" s="118" t="s">
        <v>441</v>
      </c>
      <c r="D52" s="118" t="s">
        <v>441</v>
      </c>
      <c r="E52" s="118" t="s">
        <v>441</v>
      </c>
      <c r="F52" s="118" t="s">
        <v>441</v>
      </c>
      <c r="G52" s="118" t="s">
        <v>441</v>
      </c>
      <c r="H52" s="415"/>
      <c r="I52" s="118" t="s">
        <v>441</v>
      </c>
      <c r="J52" s="353" t="s">
        <v>441</v>
      </c>
      <c r="K52" s="353" t="s">
        <v>441</v>
      </c>
      <c r="L52" s="361" t="s">
        <v>441</v>
      </c>
      <c r="M52" s="118" t="s">
        <v>441</v>
      </c>
      <c r="N52" s="118" t="s">
        <v>441</v>
      </c>
      <c r="O52" s="2"/>
    </row>
    <row r="53" spans="2:16">
      <c r="B53" s="64" t="s">
        <v>442</v>
      </c>
      <c r="C53" s="2"/>
      <c r="D53" s="2"/>
      <c r="E53" s="2"/>
      <c r="F53" s="2"/>
      <c r="G53" s="2"/>
      <c r="H53" s="420"/>
      <c r="I53" s="2"/>
      <c r="J53" s="25"/>
      <c r="K53" s="25"/>
      <c r="L53" s="164"/>
      <c r="M53" s="2"/>
      <c r="N53" s="2"/>
      <c r="O53" s="2"/>
    </row>
    <row r="54" spans="2:16">
      <c r="B54" s="2" t="s">
        <v>444</v>
      </c>
      <c r="C54" s="118" t="s">
        <v>441</v>
      </c>
      <c r="D54" s="118" t="s">
        <v>441</v>
      </c>
      <c r="E54" s="118" t="s">
        <v>441</v>
      </c>
      <c r="F54" s="118" t="s">
        <v>441</v>
      </c>
      <c r="G54" s="118" t="s">
        <v>441</v>
      </c>
      <c r="H54" s="415"/>
      <c r="I54" s="118" t="s">
        <v>441</v>
      </c>
      <c r="J54" s="353" t="s">
        <v>441</v>
      </c>
      <c r="K54" s="353" t="s">
        <v>441</v>
      </c>
      <c r="L54" s="361" t="s">
        <v>441</v>
      </c>
      <c r="M54" s="118" t="s">
        <v>441</v>
      </c>
      <c r="N54" s="118" t="s">
        <v>441</v>
      </c>
      <c r="O54" s="2"/>
    </row>
    <row r="55" spans="2:16">
      <c r="B55" s="2" t="s">
        <v>353</v>
      </c>
      <c r="C55" s="118" t="s">
        <v>445</v>
      </c>
      <c r="D55" s="118" t="s">
        <v>445</v>
      </c>
      <c r="E55" s="118" t="s">
        <v>445</v>
      </c>
      <c r="F55" s="118" t="s">
        <v>445</v>
      </c>
      <c r="G55" s="118" t="s">
        <v>445</v>
      </c>
      <c r="H55" s="415"/>
      <c r="I55" s="118" t="s">
        <v>445</v>
      </c>
      <c r="J55" s="353"/>
      <c r="K55" s="353"/>
      <c r="L55" s="361"/>
      <c r="M55" s="130" t="s">
        <v>445</v>
      </c>
      <c r="N55" s="118" t="s">
        <v>445</v>
      </c>
      <c r="O55" s="2"/>
    </row>
    <row r="56" spans="2:16">
      <c r="B56" s="2" t="s">
        <v>443</v>
      </c>
      <c r="C56" s="118" t="s">
        <v>446</v>
      </c>
      <c r="D56" s="118" t="s">
        <v>446</v>
      </c>
      <c r="E56" s="118" t="s">
        <v>446</v>
      </c>
      <c r="F56" s="118" t="s">
        <v>446</v>
      </c>
      <c r="G56" s="118" t="s">
        <v>446</v>
      </c>
      <c r="H56" s="415"/>
      <c r="I56" s="118" t="s">
        <v>446</v>
      </c>
      <c r="J56" s="353" t="s">
        <v>446</v>
      </c>
      <c r="K56" s="353" t="s">
        <v>446</v>
      </c>
      <c r="L56" s="361" t="s">
        <v>446</v>
      </c>
      <c r="M56" s="118" t="s">
        <v>446</v>
      </c>
      <c r="N56" s="118" t="s">
        <v>446</v>
      </c>
      <c r="O56" s="2"/>
    </row>
    <row r="57" spans="2:16">
      <c r="B57" s="2" t="s">
        <v>395</v>
      </c>
      <c r="C57" s="118" t="s">
        <v>373</v>
      </c>
      <c r="D57" s="118" t="s">
        <v>373</v>
      </c>
      <c r="E57" s="118" t="s">
        <v>373</v>
      </c>
      <c r="F57" s="129" t="s">
        <v>373</v>
      </c>
      <c r="G57" s="118" t="s">
        <v>373</v>
      </c>
      <c r="H57" s="415" t="s">
        <v>373</v>
      </c>
      <c r="I57" s="129" t="s">
        <v>373</v>
      </c>
      <c r="J57" s="355" t="s">
        <v>373</v>
      </c>
      <c r="K57" s="2"/>
      <c r="L57" s="363" t="s">
        <v>373</v>
      </c>
      <c r="M57" s="129" t="s">
        <v>373</v>
      </c>
      <c r="N57" s="2" t="s">
        <v>354</v>
      </c>
      <c r="O57" s="2"/>
    </row>
    <row r="58" spans="2:16">
      <c r="B58" s="64" t="s">
        <v>447</v>
      </c>
      <c r="C58" s="118"/>
      <c r="D58" s="118"/>
      <c r="E58" s="118"/>
      <c r="F58" s="118"/>
      <c r="G58" s="118"/>
      <c r="H58" s="415"/>
      <c r="I58" s="118"/>
      <c r="J58" s="353"/>
      <c r="K58" s="2"/>
      <c r="L58" s="361"/>
      <c r="M58" s="118"/>
      <c r="N58" s="64"/>
      <c r="O58" s="2"/>
    </row>
    <row r="59" spans="2:16">
      <c r="B59" s="118" t="s">
        <v>448</v>
      </c>
      <c r="C59" s="49" t="b">
        <v>1</v>
      </c>
      <c r="D59" s="49" t="b">
        <v>1</v>
      </c>
      <c r="E59" s="49" t="b">
        <v>1</v>
      </c>
      <c r="F59" s="49" t="b">
        <v>1</v>
      </c>
      <c r="G59" s="49" t="b">
        <v>1</v>
      </c>
      <c r="H59" s="419"/>
      <c r="I59" s="49" t="b">
        <v>1</v>
      </c>
      <c r="J59" s="359" t="b">
        <v>1</v>
      </c>
      <c r="K59" s="359" t="b">
        <v>1</v>
      </c>
      <c r="L59" s="368" t="b">
        <v>1</v>
      </c>
      <c r="M59" s="49" t="b">
        <v>1</v>
      </c>
      <c r="N59" s="49" t="b">
        <v>1</v>
      </c>
      <c r="O59" s="2"/>
    </row>
    <row r="60" spans="2:16">
      <c r="B60" s="123" t="s">
        <v>449</v>
      </c>
      <c r="C60" s="118" t="s">
        <v>1540</v>
      </c>
      <c r="D60" s="118" t="s">
        <v>1540</v>
      </c>
      <c r="E60" s="427" t="s">
        <v>450</v>
      </c>
      <c r="F60" s="118" t="s">
        <v>450</v>
      </c>
      <c r="G60" s="260" t="s">
        <v>450</v>
      </c>
      <c r="H60" s="415"/>
      <c r="I60" s="118" t="s">
        <v>450</v>
      </c>
      <c r="J60" s="353" t="s">
        <v>450</v>
      </c>
      <c r="K60" s="353" t="s">
        <v>450</v>
      </c>
      <c r="L60" s="361" t="s">
        <v>450</v>
      </c>
      <c r="M60" s="118" t="s">
        <v>490</v>
      </c>
      <c r="N60" s="118" t="s">
        <v>490</v>
      </c>
      <c r="O60" s="2"/>
    </row>
    <row r="61" spans="2:16">
      <c r="B61" s="123" t="s">
        <v>455</v>
      </c>
      <c r="C61" s="118" t="s">
        <v>1618</v>
      </c>
      <c r="D61" s="118" t="s">
        <v>1618</v>
      </c>
      <c r="E61" s="427" t="s">
        <v>1546</v>
      </c>
      <c r="F61" s="118" t="s">
        <v>452</v>
      </c>
      <c r="G61" s="260" t="s">
        <v>452</v>
      </c>
      <c r="H61" s="415"/>
      <c r="I61" s="118" t="s">
        <v>452</v>
      </c>
      <c r="J61" s="353" t="s">
        <v>452</v>
      </c>
      <c r="K61" s="353" t="s">
        <v>452</v>
      </c>
      <c r="L61" s="361" t="s">
        <v>452</v>
      </c>
      <c r="M61" s="118" t="s">
        <v>452</v>
      </c>
      <c r="N61" s="118" t="s">
        <v>452</v>
      </c>
      <c r="O61" s="2"/>
    </row>
    <row r="62" spans="2:16">
      <c r="B62" s="2" t="s">
        <v>454</v>
      </c>
      <c r="C62" s="118" t="s">
        <v>1623</v>
      </c>
      <c r="D62" s="118" t="s">
        <v>1623</v>
      </c>
      <c r="E62" s="427" t="s">
        <v>491</v>
      </c>
      <c r="F62" s="118" t="s">
        <v>453</v>
      </c>
      <c r="G62" s="260" t="s">
        <v>453</v>
      </c>
      <c r="H62" s="415"/>
      <c r="I62" s="118" t="s">
        <v>453</v>
      </c>
      <c r="J62" s="353" t="s">
        <v>453</v>
      </c>
      <c r="K62" s="353" t="s">
        <v>453</v>
      </c>
      <c r="L62" s="361" t="s">
        <v>453</v>
      </c>
      <c r="M62" s="118" t="s">
        <v>491</v>
      </c>
      <c r="N62" s="118" t="s">
        <v>491</v>
      </c>
      <c r="O62" s="2"/>
    </row>
    <row r="63" spans="2:16">
      <c r="B63" s="2" t="s">
        <v>451</v>
      </c>
      <c r="C63" s="118" t="s">
        <v>253</v>
      </c>
      <c r="D63" s="118" t="s">
        <v>253</v>
      </c>
      <c r="E63" s="427" t="s">
        <v>253</v>
      </c>
      <c r="F63" s="118" t="s">
        <v>253</v>
      </c>
      <c r="G63" s="260" t="s">
        <v>253</v>
      </c>
      <c r="H63" s="415"/>
      <c r="I63" s="118" t="s">
        <v>253</v>
      </c>
      <c r="J63" s="353" t="s">
        <v>253</v>
      </c>
      <c r="K63" s="353" t="s">
        <v>253</v>
      </c>
      <c r="L63" s="361" t="s">
        <v>253</v>
      </c>
      <c r="M63" s="118" t="s">
        <v>253</v>
      </c>
      <c r="N63" s="118" t="s">
        <v>253</v>
      </c>
      <c r="O63" s="2"/>
    </row>
    <row r="64" spans="2:16">
      <c r="B64" s="2" t="s">
        <v>456</v>
      </c>
      <c r="C64" s="118" t="s">
        <v>593</v>
      </c>
      <c r="D64" s="118" t="s">
        <v>593</v>
      </c>
      <c r="E64" s="118" t="s">
        <v>593</v>
      </c>
      <c r="F64" s="118" t="s">
        <v>759</v>
      </c>
      <c r="G64" s="118" t="s">
        <v>759</v>
      </c>
      <c r="H64" s="415"/>
      <c r="I64" s="118" t="s">
        <v>759</v>
      </c>
      <c r="J64" s="353" t="s">
        <v>989</v>
      </c>
      <c r="K64" s="353" t="s">
        <v>989</v>
      </c>
      <c r="L64" s="361" t="s">
        <v>989</v>
      </c>
      <c r="M64" s="118" t="s">
        <v>989</v>
      </c>
      <c r="N64" s="118" t="s">
        <v>989</v>
      </c>
      <c r="O64" s="2"/>
    </row>
    <row r="65" spans="2:15">
      <c r="B65" s="64" t="s">
        <v>457</v>
      </c>
      <c r="C65" s="2"/>
      <c r="D65" s="2"/>
      <c r="E65" s="2"/>
      <c r="F65" s="2"/>
      <c r="G65" s="2"/>
      <c r="H65" s="420"/>
      <c r="I65" s="2"/>
      <c r="J65" s="25"/>
      <c r="K65" s="25"/>
      <c r="L65" s="164"/>
      <c r="M65" s="64"/>
      <c r="N65" s="64"/>
      <c r="O65" s="2"/>
    </row>
    <row r="66" spans="2:15">
      <c r="B66" s="2" t="s">
        <v>458</v>
      </c>
      <c r="C66" s="49" t="b">
        <v>1</v>
      </c>
      <c r="D66" s="49" t="b">
        <v>1</v>
      </c>
      <c r="E66" s="49" t="b">
        <v>1</v>
      </c>
      <c r="F66" s="49" t="b">
        <v>1</v>
      </c>
      <c r="G66" s="49" t="b">
        <v>1</v>
      </c>
      <c r="H66" s="419"/>
      <c r="I66" s="49" t="b">
        <v>1</v>
      </c>
      <c r="J66" s="359" t="b">
        <v>1</v>
      </c>
      <c r="K66" s="359" t="b">
        <v>1</v>
      </c>
      <c r="L66" s="368" t="b">
        <v>1</v>
      </c>
      <c r="M66" s="49" t="b">
        <v>1</v>
      </c>
      <c r="N66" s="49" t="b">
        <v>1</v>
      </c>
      <c r="O66" s="2"/>
    </row>
    <row r="67" spans="2:15">
      <c r="B67" s="2" t="s">
        <v>459</v>
      </c>
      <c r="C67" s="49" t="b">
        <v>1</v>
      </c>
      <c r="D67" s="49" t="b">
        <v>1</v>
      </c>
      <c r="E67" s="49" t="b">
        <v>1</v>
      </c>
      <c r="F67" s="49" t="b">
        <v>1</v>
      </c>
      <c r="G67" s="49" t="b">
        <v>1</v>
      </c>
      <c r="H67" s="419"/>
      <c r="I67" s="49" t="b">
        <v>1</v>
      </c>
      <c r="J67" s="359" t="b">
        <v>1</v>
      </c>
      <c r="K67" s="359" t="b">
        <v>1</v>
      </c>
      <c r="L67" s="368" t="b">
        <v>1</v>
      </c>
      <c r="M67" s="49" t="b">
        <v>1</v>
      </c>
      <c r="N67" s="49" t="b">
        <v>1</v>
      </c>
      <c r="O67" s="2"/>
    </row>
    <row r="68" spans="2:15">
      <c r="B68" s="64" t="s">
        <v>348</v>
      </c>
      <c r="C68" s="2"/>
      <c r="D68" s="2"/>
      <c r="E68" s="2"/>
      <c r="F68" s="2"/>
      <c r="G68" s="2"/>
      <c r="H68" s="420"/>
      <c r="I68" s="2"/>
      <c r="J68" s="25"/>
      <c r="K68" s="25"/>
      <c r="L68" s="164"/>
      <c r="M68" s="64"/>
      <c r="N68" s="64"/>
      <c r="O68" s="2"/>
    </row>
    <row r="69" spans="2:15" ht="29">
      <c r="B69" s="123" t="s">
        <v>460</v>
      </c>
      <c r="C69" s="49" t="b">
        <v>0</v>
      </c>
      <c r="D69" s="49" t="b">
        <v>0</v>
      </c>
      <c r="E69" s="49" t="b">
        <v>0</v>
      </c>
      <c r="F69" s="49" t="b">
        <v>0</v>
      </c>
      <c r="G69" s="49" t="b">
        <v>0</v>
      </c>
      <c r="H69" s="419"/>
      <c r="I69" s="49" t="b">
        <v>0</v>
      </c>
      <c r="J69" s="359" t="b">
        <v>0</v>
      </c>
      <c r="K69" s="359" t="b">
        <v>0</v>
      </c>
      <c r="L69" s="368" t="b">
        <v>0</v>
      </c>
      <c r="M69" s="49" t="b">
        <v>0</v>
      </c>
      <c r="N69" s="49" t="b">
        <v>0</v>
      </c>
      <c r="O69" s="2"/>
    </row>
    <row r="70" spans="2:15">
      <c r="B70" s="2" t="s">
        <v>461</v>
      </c>
      <c r="C70" s="2" t="s">
        <v>462</v>
      </c>
      <c r="D70" s="2" t="s">
        <v>462</v>
      </c>
      <c r="E70" s="2" t="s">
        <v>462</v>
      </c>
      <c r="F70" s="2" t="s">
        <v>462</v>
      </c>
      <c r="G70" s="2" t="s">
        <v>462</v>
      </c>
      <c r="H70" s="420"/>
      <c r="I70" s="2" t="s">
        <v>462</v>
      </c>
      <c r="J70" s="25" t="s">
        <v>462</v>
      </c>
      <c r="K70" s="25" t="s">
        <v>462</v>
      </c>
      <c r="L70" s="164" t="s">
        <v>462</v>
      </c>
      <c r="M70" s="2" t="s">
        <v>462</v>
      </c>
      <c r="N70" s="2" t="s">
        <v>462</v>
      </c>
      <c r="O70" s="2"/>
    </row>
    <row r="71" spans="2:15">
      <c r="B71" s="2" t="s">
        <v>463</v>
      </c>
      <c r="C71" s="2" t="s">
        <v>1113</v>
      </c>
      <c r="D71" s="2" t="s">
        <v>1113</v>
      </c>
      <c r="E71" s="2" t="s">
        <v>1113</v>
      </c>
      <c r="F71" s="2" t="s">
        <v>464</v>
      </c>
      <c r="G71" s="2" t="s">
        <v>464</v>
      </c>
      <c r="H71" s="420"/>
      <c r="I71" s="2" t="s">
        <v>464</v>
      </c>
      <c r="J71" s="25" t="s">
        <v>464</v>
      </c>
      <c r="K71" s="25" t="s">
        <v>1113</v>
      </c>
      <c r="L71" s="164" t="s">
        <v>464</v>
      </c>
      <c r="M71" s="2" t="s">
        <v>464</v>
      </c>
      <c r="N71" s="2" t="s">
        <v>464</v>
      </c>
      <c r="O71" s="2"/>
    </row>
    <row r="72" spans="2:15">
      <c r="B72" s="123" t="s">
        <v>455</v>
      </c>
      <c r="C72" s="118" t="s">
        <v>1541</v>
      </c>
      <c r="D72" s="118" t="s">
        <v>1541</v>
      </c>
      <c r="E72" s="118" t="s">
        <v>1541</v>
      </c>
      <c r="F72" s="118" t="s">
        <v>465</v>
      </c>
      <c r="G72" s="118" t="s">
        <v>760</v>
      </c>
      <c r="H72" s="415"/>
      <c r="I72" s="118" t="s">
        <v>465</v>
      </c>
      <c r="J72" s="353" t="s">
        <v>465</v>
      </c>
      <c r="K72" s="353" t="s">
        <v>465</v>
      </c>
      <c r="L72" s="361" t="s">
        <v>465</v>
      </c>
      <c r="M72" s="118" t="s">
        <v>465</v>
      </c>
      <c r="N72" s="118" t="s">
        <v>465</v>
      </c>
      <c r="O72" s="2"/>
    </row>
    <row r="73" spans="2:15">
      <c r="B73" s="2" t="s">
        <v>454</v>
      </c>
      <c r="C73" s="118" t="s">
        <v>491</v>
      </c>
      <c r="D73" s="118" t="s">
        <v>491</v>
      </c>
      <c r="E73" s="118" t="s">
        <v>491</v>
      </c>
      <c r="F73" s="118" t="s">
        <v>466</v>
      </c>
      <c r="G73" s="118" t="s">
        <v>466</v>
      </c>
      <c r="H73" s="415"/>
      <c r="I73" s="118" t="s">
        <v>466</v>
      </c>
      <c r="J73" s="353" t="s">
        <v>466</v>
      </c>
      <c r="K73" s="353" t="s">
        <v>466</v>
      </c>
      <c r="L73" s="361" t="s">
        <v>466</v>
      </c>
      <c r="M73" s="118" t="s">
        <v>1012</v>
      </c>
      <c r="N73" s="118" t="s">
        <v>466</v>
      </c>
      <c r="O73" s="2"/>
    </row>
    <row r="74" spans="2:15">
      <c r="B74" s="64" t="s">
        <v>467</v>
      </c>
      <c r="C74" s="49" t="b">
        <v>0</v>
      </c>
      <c r="D74" s="49" t="b">
        <v>0</v>
      </c>
      <c r="E74" s="49" t="b">
        <v>0</v>
      </c>
      <c r="F74" s="49" t="b">
        <v>0</v>
      </c>
      <c r="G74" s="49" t="b">
        <v>0</v>
      </c>
      <c r="H74" s="419"/>
      <c r="I74" s="49" t="b">
        <v>0</v>
      </c>
      <c r="J74" s="359" t="b">
        <v>0</v>
      </c>
      <c r="K74" s="359" t="b">
        <v>0</v>
      </c>
      <c r="L74" s="368" t="b">
        <v>0</v>
      </c>
      <c r="M74" s="49" t="b">
        <v>1</v>
      </c>
      <c r="N74" s="49" t="b">
        <v>0</v>
      </c>
      <c r="O74" s="2"/>
    </row>
    <row r="75" spans="2:15">
      <c r="B75" s="2"/>
      <c r="C75" s="2"/>
      <c r="D75" s="2"/>
      <c r="E75" s="2"/>
      <c r="F75" s="2"/>
      <c r="G75" s="2"/>
      <c r="H75" s="420"/>
      <c r="I75" s="2"/>
      <c r="J75" s="2"/>
      <c r="K75" s="2"/>
      <c r="L75" s="2"/>
      <c r="M75" s="2"/>
      <c r="N75" s="2"/>
      <c r="O75" s="2"/>
    </row>
    <row r="78" spans="2:15" ht="18">
      <c r="C78" s="333" t="s">
        <v>1054</v>
      </c>
    </row>
    <row r="79" spans="2:15">
      <c r="C79" s="334"/>
    </row>
    <row r="80" spans="2:15">
      <c r="C80" s="335" t="s">
        <v>1054</v>
      </c>
    </row>
    <row r="81" spans="2:14">
      <c r="C81" s="336" t="s">
        <v>1055</v>
      </c>
    </row>
    <row r="82" spans="2:14" ht="18">
      <c r="C82" s="335" t="s">
        <v>1056</v>
      </c>
      <c r="F82" s="333" t="s">
        <v>1054</v>
      </c>
    </row>
    <row r="83" spans="2:14">
      <c r="C83" s="337" t="s">
        <v>1057</v>
      </c>
      <c r="F83" s="334"/>
    </row>
    <row r="84" spans="2:14">
      <c r="C84" s="335" t="s">
        <v>1058</v>
      </c>
      <c r="F84" s="335" t="s">
        <v>1054</v>
      </c>
    </row>
    <row r="85" spans="2:14" ht="43.5">
      <c r="C85" s="336" t="s">
        <v>1059</v>
      </c>
      <c r="F85" s="336" t="s">
        <v>1055</v>
      </c>
    </row>
    <row r="86" spans="2:14">
      <c r="C86" s="335" t="s">
        <v>1060</v>
      </c>
      <c r="F86" s="335" t="s">
        <v>1056</v>
      </c>
    </row>
    <row r="87" spans="2:14" ht="29">
      <c r="C87" s="336" t="s">
        <v>1061</v>
      </c>
      <c r="F87" s="337" t="s">
        <v>1057</v>
      </c>
    </row>
    <row r="88" spans="2:14">
      <c r="C88" s="335" t="s">
        <v>1062</v>
      </c>
      <c r="F88" s="335" t="s">
        <v>1058</v>
      </c>
    </row>
    <row r="89" spans="2:14" ht="43.5">
      <c r="B89" s="110"/>
      <c r="C89" s="336" t="s">
        <v>234</v>
      </c>
      <c r="F89" s="336" t="s">
        <v>1059</v>
      </c>
      <c r="N89" s="110"/>
    </row>
    <row r="90" spans="2:14">
      <c r="B90" s="110"/>
      <c r="C90" s="335" t="s">
        <v>1063</v>
      </c>
      <c r="F90" s="335" t="s">
        <v>1060</v>
      </c>
      <c r="N90" s="110"/>
    </row>
    <row r="91" spans="2:14" ht="43.5">
      <c r="B91" s="110"/>
      <c r="C91" s="336" t="s">
        <v>1064</v>
      </c>
      <c r="F91" s="336" t="s">
        <v>1061</v>
      </c>
      <c r="N91" s="110"/>
    </row>
    <row r="92" spans="2:14">
      <c r="B92" s="110"/>
      <c r="F92" s="335" t="s">
        <v>1062</v>
      </c>
      <c r="N92" s="110"/>
    </row>
    <row r="93" spans="2:14">
      <c r="B93" s="110"/>
      <c r="F93" s="336" t="s">
        <v>234</v>
      </c>
      <c r="N93" s="110"/>
    </row>
    <row r="94" spans="2:14">
      <c r="B94" s="110"/>
      <c r="F94" s="335" t="s">
        <v>1063</v>
      </c>
      <c r="N94" s="110"/>
    </row>
    <row r="95" spans="2:14">
      <c r="B95" s="110"/>
      <c r="F95" s="336" t="s">
        <v>1064</v>
      </c>
      <c r="N95" s="110"/>
    </row>
    <row r="96" spans="2:14">
      <c r="B96" s="110"/>
      <c r="N96" s="110"/>
    </row>
    <row r="97" spans="2:14">
      <c r="B97" s="110"/>
      <c r="N97" s="110"/>
    </row>
    <row r="98" spans="2:14">
      <c r="B98" s="110"/>
      <c r="N98" s="110"/>
    </row>
    <row r="99" spans="2:14">
      <c r="B99" s="110"/>
      <c r="N99" s="110"/>
    </row>
    <row r="100" spans="2:14">
      <c r="B100" s="110"/>
      <c r="N100" s="110"/>
    </row>
    <row r="101" spans="2:14">
      <c r="B101" s="110"/>
      <c r="N101" s="110"/>
    </row>
    <row r="102" spans="2:14">
      <c r="B102" s="110"/>
      <c r="N102" s="110"/>
    </row>
    <row r="103" spans="2:14">
      <c r="B103" s="110"/>
      <c r="N103" s="110"/>
    </row>
    <row r="104" spans="2:14">
      <c r="B104" s="110"/>
      <c r="N104" s="110"/>
    </row>
    <row r="105" spans="2:14">
      <c r="B105" s="110"/>
      <c r="N105" s="110"/>
    </row>
    <row r="106" spans="2:14">
      <c r="B106" s="110"/>
      <c r="N106" s="110"/>
    </row>
    <row r="107" spans="2:14">
      <c r="B107" s="110"/>
      <c r="N107" s="110"/>
    </row>
    <row r="108" spans="2:14">
      <c r="B108" s="110"/>
      <c r="N108" s="110"/>
    </row>
    <row r="109" spans="2:14">
      <c r="B109" s="110"/>
      <c r="N109" s="110"/>
    </row>
    <row r="110" spans="2:14">
      <c r="B110" s="110"/>
      <c r="N110" s="110"/>
    </row>
    <row r="111" spans="2:14">
      <c r="B111" s="110"/>
      <c r="N111" s="110"/>
    </row>
    <row r="112" spans="2:14">
      <c r="B112" s="110"/>
      <c r="N112" s="110"/>
    </row>
    <row r="113" spans="2:14">
      <c r="B113" s="110"/>
      <c r="N113" s="110"/>
    </row>
    <row r="114" spans="2:14">
      <c r="B114" s="110"/>
      <c r="N114" s="110"/>
    </row>
    <row r="115" spans="2:14">
      <c r="B115" s="110"/>
      <c r="N115" s="110"/>
    </row>
    <row r="116" spans="2:14">
      <c r="B116" s="110"/>
      <c r="N116" s="110"/>
    </row>
    <row r="117" spans="2:14">
      <c r="B117" s="110"/>
      <c r="N117" s="110"/>
    </row>
  </sheetData>
  <mergeCells count="4">
    <mergeCell ref="F7:I7"/>
    <mergeCell ref="J7:L7"/>
    <mergeCell ref="M7:N7"/>
    <mergeCell ref="C7:E7"/>
  </mergeCells>
  <phoneticPr fontId="52" type="noConversion"/>
  <hyperlinks>
    <hyperlink ref="F38" r:id="rId1" location="SecurityGroups:search=sg-04a9e0311a35295fc" display="SecurityGroups:search=sg-04a9e0311a35295fc" xr:uid="{5B372E21-5264-41A7-B542-3AB369410D51}"/>
    <hyperlink ref="N38" r:id="rId2" location="SecurityGroups:search=sg-04a9e0311a35295fc" display="SecurityGroups:search=sg-04a9e0311a35295fc" xr:uid="{2FBE46E4-6C0D-42E0-B439-2CC792E4E047}"/>
    <hyperlink ref="M32" r:id="rId3" location="vpcs:VpcId=vpc-05d4a0ccf16f06652" display="https://il-central-1.console.aws.amazon.com/vpc/home?region=il-central-1 - vpcs:VpcId=vpc-05d4a0ccf16f06652" xr:uid="{65D1D9B9-EA88-47AE-A363-549B338A37B0}"/>
    <hyperlink ref="M34" r:id="rId4" location="subnets:SubnetId=subnet-0a032d12e489be661" display="https://il-central-1.console.aws.amazon.com/vpc/home?region=il-central-1 - subnets:SubnetId=subnet-0a032d12e489be661" xr:uid="{330C1CD2-C04A-47B5-9D11-1F4D3F14102F}"/>
    <hyperlink ref="M35" r:id="rId5" location="subnets:SubnetId=subnet-0ddeb8f5068b40a69" display="https://il-central-1.console.aws.amazon.com/vpc/home?region=il-central-1 - subnets:SubnetId=subnet-0ddeb8f5068b40a69" xr:uid="{2231278D-60C4-46D6-980C-C3D618B0E8F0}"/>
    <hyperlink ref="M37" r:id="rId6" location="SecurityGroups:search=sg-0405857c5fb988c78" display="https://il-central-1.console.aws.amazon.com/ec2/v2/home?region=il-central-1 - SecurityGroups:search=sg-0405857c5fb988c78" xr:uid="{F04EBBE6-D1AD-4FDA-AB35-228CD624D329}"/>
  </hyperlinks>
  <pageMargins left="0.7" right="0.7" top="0.75" bottom="0.75" header="0.3" footer="0.3"/>
  <pageSetup paperSize="9" orientation="portrait" r:id="rId7"/>
  <drawing r:id="rId8"/>
  <legacyDrawing r:id="rId9"/>
  <controls>
    <mc:AlternateContent xmlns:mc="http://schemas.openxmlformats.org/markup-compatibility/2006">
      <mc:Choice Requires="x14">
        <control shapeId="5121" r:id="rId10" name="Control 1">
          <controlPr defaultSize="0" autoPict="0" r:id="rId11">
            <anchor moveWithCells="1">
              <from>
                <xdr:col>0</xdr:col>
                <xdr:colOff>0</xdr:colOff>
                <xdr:row>13</xdr:row>
                <xdr:rowOff>6350</xdr:rowOff>
              </from>
              <to>
                <xdr:col>0</xdr:col>
                <xdr:colOff>107950</xdr:colOff>
                <xdr:row>14</xdr:row>
                <xdr:rowOff>31750</xdr:rowOff>
              </to>
            </anchor>
          </controlPr>
        </control>
      </mc:Choice>
      <mc:Fallback>
        <control shapeId="5121" r:id="rId10" name="Control 1"/>
      </mc:Fallback>
    </mc:AlternateContent>
    <mc:AlternateContent xmlns:mc="http://schemas.openxmlformats.org/markup-compatibility/2006">
      <mc:Choice Requires="x14">
        <control shapeId="5122" r:id="rId12" name="Control 2">
          <controlPr defaultSize="0" autoPict="0" r:id="rId13">
            <anchor moveWithCells="1">
              <from>
                <xdr:col>0</xdr:col>
                <xdr:colOff>0</xdr:colOff>
                <xdr:row>20</xdr:row>
                <xdr:rowOff>19050</xdr:rowOff>
              </from>
              <to>
                <xdr:col>0</xdr:col>
                <xdr:colOff>107950</xdr:colOff>
                <xdr:row>21</xdr:row>
                <xdr:rowOff>44450</xdr:rowOff>
              </to>
            </anchor>
          </controlPr>
        </control>
      </mc:Choice>
      <mc:Fallback>
        <control shapeId="5122" r:id="rId12" name="Control 2"/>
      </mc:Fallback>
    </mc:AlternateContent>
    <mc:AlternateContent xmlns:mc="http://schemas.openxmlformats.org/markup-compatibility/2006">
      <mc:Choice Requires="x14">
        <control shapeId="5123" r:id="rId14" name="Control 3">
          <controlPr defaultSize="0" autoPict="0" r:id="rId15">
            <anchor moveWithCells="1">
              <from>
                <xdr:col>0</xdr:col>
                <xdr:colOff>0</xdr:colOff>
                <xdr:row>22</xdr:row>
                <xdr:rowOff>25400</xdr:rowOff>
              </from>
              <to>
                <xdr:col>0</xdr:col>
                <xdr:colOff>107950</xdr:colOff>
                <xdr:row>23</xdr:row>
                <xdr:rowOff>44450</xdr:rowOff>
              </to>
            </anchor>
          </controlPr>
        </control>
      </mc:Choice>
      <mc:Fallback>
        <control shapeId="5123" r:id="rId14" name="Control 3"/>
      </mc:Fallback>
    </mc:AlternateContent>
    <mc:AlternateContent xmlns:mc="http://schemas.openxmlformats.org/markup-compatibility/2006">
      <mc:Choice Requires="x14">
        <control shapeId="5124" r:id="rId16" name="Control 4">
          <controlPr defaultSize="0" autoPict="0" r:id="rId17">
            <anchor moveWithCells="1">
              <from>
                <xdr:col>0</xdr:col>
                <xdr:colOff>0</xdr:colOff>
                <xdr:row>26</xdr:row>
                <xdr:rowOff>31750</xdr:rowOff>
              </from>
              <to>
                <xdr:col>0</xdr:col>
                <xdr:colOff>107950</xdr:colOff>
                <xdr:row>27</xdr:row>
                <xdr:rowOff>0</xdr:rowOff>
              </to>
            </anchor>
          </controlPr>
        </control>
      </mc:Choice>
      <mc:Fallback>
        <control shapeId="5124" r:id="rId16" name="Control 4"/>
      </mc:Fallback>
    </mc:AlternateContent>
    <mc:AlternateContent xmlns:mc="http://schemas.openxmlformats.org/markup-compatibility/2006">
      <mc:Choice Requires="x14">
        <control shapeId="5125" r:id="rId18" name="Control 5">
          <controlPr defaultSize="0" autoPict="0" r:id="rId19">
            <anchor moveWithCells="1">
              <from>
                <xdr:col>0</xdr:col>
                <xdr:colOff>0</xdr:colOff>
                <xdr:row>26</xdr:row>
                <xdr:rowOff>31750</xdr:rowOff>
              </from>
              <to>
                <xdr:col>0</xdr:col>
                <xdr:colOff>107950</xdr:colOff>
                <xdr:row>27</xdr:row>
                <xdr:rowOff>0</xdr:rowOff>
              </to>
            </anchor>
          </controlPr>
        </control>
      </mc:Choice>
      <mc:Fallback>
        <control shapeId="5125" r:id="rId18" name="Control 5"/>
      </mc:Fallback>
    </mc:AlternateContent>
    <mc:AlternateContent xmlns:mc="http://schemas.openxmlformats.org/markup-compatibility/2006">
      <mc:Choice Requires="x14">
        <control shapeId="5126" r:id="rId20" name="Control 6">
          <controlPr defaultSize="0" autoPict="0" r:id="rId21">
            <anchor moveWithCells="1">
              <from>
                <xdr:col>0</xdr:col>
                <xdr:colOff>0</xdr:colOff>
                <xdr:row>26</xdr:row>
                <xdr:rowOff>31750</xdr:rowOff>
              </from>
              <to>
                <xdr:col>0</xdr:col>
                <xdr:colOff>107950</xdr:colOff>
                <xdr:row>27</xdr:row>
                <xdr:rowOff>0</xdr:rowOff>
              </to>
            </anchor>
          </controlPr>
        </control>
      </mc:Choice>
      <mc:Fallback>
        <control shapeId="5126" r:id="rId20" name="Control 6"/>
      </mc:Fallback>
    </mc:AlternateContent>
    <mc:AlternateContent xmlns:mc="http://schemas.openxmlformats.org/markup-compatibility/2006">
      <mc:Choice Requires="x14">
        <control shapeId="5127" r:id="rId22" name="Control 7">
          <controlPr defaultSize="0" autoPict="0" r:id="rId23">
            <anchor moveWithCells="1">
              <from>
                <xdr:col>0</xdr:col>
                <xdr:colOff>0</xdr:colOff>
                <xdr:row>27</xdr:row>
                <xdr:rowOff>38100</xdr:rowOff>
              </from>
              <to>
                <xdr:col>0</xdr:col>
                <xdr:colOff>107950</xdr:colOff>
                <xdr:row>28</xdr:row>
                <xdr:rowOff>57150</xdr:rowOff>
              </to>
            </anchor>
          </controlPr>
        </control>
      </mc:Choice>
      <mc:Fallback>
        <control shapeId="5127" r:id="rId22" name="Control 7"/>
      </mc:Fallback>
    </mc:AlternateContent>
    <mc:AlternateContent xmlns:mc="http://schemas.openxmlformats.org/markup-compatibility/2006">
      <mc:Choice Requires="x14">
        <control shapeId="5128" r:id="rId24" name="Control 8">
          <controlPr defaultSize="0" autoPict="0" r:id="rId25">
            <anchor moveWithCells="1">
              <from>
                <xdr:col>0</xdr:col>
                <xdr:colOff>0</xdr:colOff>
                <xdr:row>28</xdr:row>
                <xdr:rowOff>38100</xdr:rowOff>
              </from>
              <to>
                <xdr:col>0</xdr:col>
                <xdr:colOff>107950</xdr:colOff>
                <xdr:row>29</xdr:row>
                <xdr:rowOff>57150</xdr:rowOff>
              </to>
            </anchor>
          </controlPr>
        </control>
      </mc:Choice>
      <mc:Fallback>
        <control shapeId="5128" r:id="rId24" name="Control 8"/>
      </mc:Fallback>
    </mc:AlternateContent>
    <mc:AlternateContent xmlns:mc="http://schemas.openxmlformats.org/markup-compatibility/2006">
      <mc:Choice Requires="x14">
        <control shapeId="5129" r:id="rId26" name="Control 9">
          <controlPr defaultSize="0" autoPict="0" r:id="rId27">
            <anchor moveWithCells="1">
              <from>
                <xdr:col>0</xdr:col>
                <xdr:colOff>0</xdr:colOff>
                <xdr:row>30</xdr:row>
                <xdr:rowOff>44450</xdr:rowOff>
              </from>
              <to>
                <xdr:col>0</xdr:col>
                <xdr:colOff>107950</xdr:colOff>
                <xdr:row>31</xdr:row>
                <xdr:rowOff>69850</xdr:rowOff>
              </to>
            </anchor>
          </controlPr>
        </control>
      </mc:Choice>
      <mc:Fallback>
        <control shapeId="5129" r:id="rId26" name="Control 9"/>
      </mc:Fallback>
    </mc:AlternateContent>
    <mc:AlternateContent xmlns:mc="http://schemas.openxmlformats.org/markup-compatibility/2006">
      <mc:Choice Requires="x14">
        <control shapeId="5130" r:id="rId28" name="Control 10">
          <controlPr defaultSize="0" autoPict="0" r:id="rId29">
            <anchor moveWithCells="1">
              <from>
                <xdr:col>0</xdr:col>
                <xdr:colOff>0</xdr:colOff>
                <xdr:row>31</xdr:row>
                <xdr:rowOff>44450</xdr:rowOff>
              </from>
              <to>
                <xdr:col>0</xdr:col>
                <xdr:colOff>107950</xdr:colOff>
                <xdr:row>32</xdr:row>
                <xdr:rowOff>69850</xdr:rowOff>
              </to>
            </anchor>
          </controlPr>
        </control>
      </mc:Choice>
      <mc:Fallback>
        <control shapeId="5130" r:id="rId28" name="Control 10"/>
      </mc:Fallback>
    </mc:AlternateContent>
    <mc:AlternateContent xmlns:mc="http://schemas.openxmlformats.org/markup-compatibility/2006">
      <mc:Choice Requires="x14">
        <control shapeId="5131" r:id="rId30" name="Control 11">
          <controlPr defaultSize="0" autoPict="0" r:id="rId31">
            <anchor moveWithCells="1">
              <from>
                <xdr:col>0</xdr:col>
                <xdr:colOff>0</xdr:colOff>
                <xdr:row>32</xdr:row>
                <xdr:rowOff>44450</xdr:rowOff>
              </from>
              <to>
                <xdr:col>0</xdr:col>
                <xdr:colOff>107950</xdr:colOff>
                <xdr:row>33</xdr:row>
                <xdr:rowOff>0</xdr:rowOff>
              </to>
            </anchor>
          </controlPr>
        </control>
      </mc:Choice>
      <mc:Fallback>
        <control shapeId="5131" r:id="rId30" name="Control 11"/>
      </mc:Fallback>
    </mc:AlternateContent>
    <mc:AlternateContent xmlns:mc="http://schemas.openxmlformats.org/markup-compatibility/2006">
      <mc:Choice Requires="x14">
        <control shapeId="5132" r:id="rId32" name="Control 12">
          <controlPr defaultSize="0" autoPict="0" r:id="rId33">
            <anchor moveWithCells="1">
              <from>
                <xdr:col>0</xdr:col>
                <xdr:colOff>0</xdr:colOff>
                <xdr:row>35</xdr:row>
                <xdr:rowOff>44450</xdr:rowOff>
              </from>
              <to>
                <xdr:col>0</xdr:col>
                <xdr:colOff>107950</xdr:colOff>
                <xdr:row>36</xdr:row>
                <xdr:rowOff>69850</xdr:rowOff>
              </to>
            </anchor>
          </controlPr>
        </control>
      </mc:Choice>
      <mc:Fallback>
        <control shapeId="5132" r:id="rId32" name="Control 12"/>
      </mc:Fallback>
    </mc:AlternateContent>
    <mc:AlternateContent xmlns:mc="http://schemas.openxmlformats.org/markup-compatibility/2006">
      <mc:Choice Requires="x14">
        <control shapeId="5133" r:id="rId34" name="Control 13">
          <controlPr defaultSize="0" autoPict="0" r:id="rId35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3" r:id="rId34" name="Control 13"/>
      </mc:Fallback>
    </mc:AlternateContent>
    <mc:AlternateContent xmlns:mc="http://schemas.openxmlformats.org/markup-compatibility/2006">
      <mc:Choice Requires="x14">
        <control shapeId="5134" r:id="rId36" name="Control 14">
          <controlPr defaultSize="0" autoPict="0" r:id="rId37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4" r:id="rId36" name="Control 14"/>
      </mc:Fallback>
    </mc:AlternateContent>
    <mc:AlternateContent xmlns:mc="http://schemas.openxmlformats.org/markup-compatibility/2006">
      <mc:Choice Requires="x14">
        <control shapeId="5135" r:id="rId38" name="Control 15">
          <controlPr defaultSize="0" autoPict="0" r:id="rId39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5" r:id="rId38" name="Control 15"/>
      </mc:Fallback>
    </mc:AlternateContent>
    <mc:AlternateContent xmlns:mc="http://schemas.openxmlformats.org/markup-compatibility/2006">
      <mc:Choice Requires="x14">
        <control shapeId="5136" r:id="rId40" name="Control 16">
          <controlPr defaultSize="0" autoPict="0" r:id="rId41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6" r:id="rId40" name="Control 16"/>
      </mc:Fallback>
    </mc:AlternateContent>
    <mc:AlternateContent xmlns:mc="http://schemas.openxmlformats.org/markup-compatibility/2006">
      <mc:Choice Requires="x14">
        <control shapeId="5137" r:id="rId42" name="Control 17">
          <controlPr defaultSize="0" autoPict="0" r:id="rId43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7" r:id="rId42" name="Control 17"/>
      </mc:Fallback>
    </mc:AlternateContent>
    <mc:AlternateContent xmlns:mc="http://schemas.openxmlformats.org/markup-compatibility/2006">
      <mc:Choice Requires="x14">
        <control shapeId="5138" r:id="rId44" name="Control 18">
          <controlPr defaultSize="0" autoPict="0" r:id="rId45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8" r:id="rId44" name="Control 18"/>
      </mc:Fallback>
    </mc:AlternateContent>
    <mc:AlternateContent xmlns:mc="http://schemas.openxmlformats.org/markup-compatibility/2006">
      <mc:Choice Requires="x14">
        <control shapeId="5139" r:id="rId46" name="Control 19">
          <controlPr defaultSize="0" autoPict="0" r:id="rId47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39" r:id="rId46" name="Control 19"/>
      </mc:Fallback>
    </mc:AlternateContent>
    <mc:AlternateContent xmlns:mc="http://schemas.openxmlformats.org/markup-compatibility/2006">
      <mc:Choice Requires="x14">
        <control shapeId="5140" r:id="rId48" name="Control 20">
          <controlPr defaultSize="0" autoPict="0" r:id="rId49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0" r:id="rId48" name="Control 20"/>
      </mc:Fallback>
    </mc:AlternateContent>
    <mc:AlternateContent xmlns:mc="http://schemas.openxmlformats.org/markup-compatibility/2006">
      <mc:Choice Requires="x14">
        <control shapeId="5141" r:id="rId50" name="Control 21">
          <controlPr defaultSize="0" autoPict="0" r:id="rId51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1" r:id="rId50" name="Control 21"/>
      </mc:Fallback>
    </mc:AlternateContent>
    <mc:AlternateContent xmlns:mc="http://schemas.openxmlformats.org/markup-compatibility/2006">
      <mc:Choice Requires="x14">
        <control shapeId="5142" r:id="rId52" name="Control 22">
          <controlPr defaultSize="0" autoPict="0" r:id="rId53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2" r:id="rId52" name="Control 22"/>
      </mc:Fallback>
    </mc:AlternateContent>
    <mc:AlternateContent xmlns:mc="http://schemas.openxmlformats.org/markup-compatibility/2006">
      <mc:Choice Requires="x14">
        <control shapeId="5143" r:id="rId54" name="Control 23">
          <controlPr defaultSize="0" autoPict="0" r:id="rId55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3" r:id="rId54" name="Control 23"/>
      </mc:Fallback>
    </mc:AlternateContent>
    <mc:AlternateContent xmlns:mc="http://schemas.openxmlformats.org/markup-compatibility/2006">
      <mc:Choice Requires="x14">
        <control shapeId="5144" r:id="rId56" name="Control 24">
          <controlPr defaultSize="0" autoPict="0" r:id="rId57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4" r:id="rId56" name="Control 24"/>
      </mc:Fallback>
    </mc:AlternateContent>
    <mc:AlternateContent xmlns:mc="http://schemas.openxmlformats.org/markup-compatibility/2006">
      <mc:Choice Requires="x14">
        <control shapeId="5145" r:id="rId58" name="Control 25">
          <controlPr defaultSize="0" autoPict="0" r:id="rId59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5" r:id="rId58" name="Control 25"/>
      </mc:Fallback>
    </mc:AlternateContent>
    <mc:AlternateContent xmlns:mc="http://schemas.openxmlformats.org/markup-compatibility/2006">
      <mc:Choice Requires="x14">
        <control shapeId="5146" r:id="rId60" name="Control 26">
          <controlPr defaultSize="0" autoPict="0" r:id="rId61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6" r:id="rId60" name="Control 26"/>
      </mc:Fallback>
    </mc:AlternateContent>
    <mc:AlternateContent xmlns:mc="http://schemas.openxmlformats.org/markup-compatibility/2006">
      <mc:Choice Requires="x14">
        <control shapeId="5147" r:id="rId62" name="Control 27">
          <controlPr defaultSize="0" autoPict="0" r:id="rId63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7" r:id="rId62" name="Control 27"/>
      </mc:Fallback>
    </mc:AlternateContent>
    <mc:AlternateContent xmlns:mc="http://schemas.openxmlformats.org/markup-compatibility/2006">
      <mc:Choice Requires="x14">
        <control shapeId="5148" r:id="rId64" name="Control 28">
          <controlPr defaultSize="0" autoPict="0" r:id="rId65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8" r:id="rId64" name="Control 28"/>
      </mc:Fallback>
    </mc:AlternateContent>
    <mc:AlternateContent xmlns:mc="http://schemas.openxmlformats.org/markup-compatibility/2006">
      <mc:Choice Requires="x14">
        <control shapeId="5149" r:id="rId66" name="Control 29">
          <controlPr defaultSize="0" autoPict="0" r:id="rId67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49" r:id="rId66" name="Control 29"/>
      </mc:Fallback>
    </mc:AlternateContent>
    <mc:AlternateContent xmlns:mc="http://schemas.openxmlformats.org/markup-compatibility/2006">
      <mc:Choice Requires="x14">
        <control shapeId="5150" r:id="rId68" name="Control 30">
          <controlPr defaultSize="0" autoPict="0" r:id="rId69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50" r:id="rId68" name="Control 30"/>
      </mc:Fallback>
    </mc:AlternateContent>
    <mc:AlternateContent xmlns:mc="http://schemas.openxmlformats.org/markup-compatibility/2006">
      <mc:Choice Requires="x14">
        <control shapeId="5151" r:id="rId70" name="Control 31">
          <controlPr defaultSize="0" autoPict="0" r:id="rId71">
            <anchor moveWithCells="1">
              <from>
                <xdr:col>0</xdr:col>
                <xdr:colOff>0</xdr:colOff>
                <xdr:row>36</xdr:row>
                <xdr:rowOff>50800</xdr:rowOff>
              </from>
              <to>
                <xdr:col>0</xdr:col>
                <xdr:colOff>107950</xdr:colOff>
                <xdr:row>37</xdr:row>
                <xdr:rowOff>76200</xdr:rowOff>
              </to>
            </anchor>
          </controlPr>
        </control>
      </mc:Choice>
      <mc:Fallback>
        <control shapeId="5151" r:id="rId70" name="Control 3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4ADC-CF23-4503-902A-094A9CE10EC1}">
  <dimension ref="B3:I119"/>
  <sheetViews>
    <sheetView zoomScale="115" zoomScaleNormal="115" workbookViewId="0">
      <selection activeCell="H4" sqref="H4"/>
    </sheetView>
  </sheetViews>
  <sheetFormatPr defaultRowHeight="14.5"/>
  <cols>
    <col min="2" max="2" width="20.81640625" customWidth="1"/>
    <col min="3" max="3" width="18.1796875" bestFit="1" customWidth="1"/>
    <col min="4" max="4" width="17.1796875" customWidth="1"/>
    <col min="5" max="5" width="23.453125" customWidth="1"/>
    <col min="6" max="6" width="20.453125" style="1" customWidth="1"/>
    <col min="7" max="8" width="21.54296875" customWidth="1"/>
    <col min="9" max="9" width="17" customWidth="1"/>
  </cols>
  <sheetData>
    <row r="3" spans="2:9" ht="23.5">
      <c r="B3" s="534" t="s">
        <v>1694</v>
      </c>
      <c r="C3" s="535"/>
      <c r="D3" s="535"/>
      <c r="E3" s="535"/>
      <c r="F3" s="535"/>
    </row>
    <row r="7" spans="2:9" ht="18.5">
      <c r="B7" s="467" t="s">
        <v>1693</v>
      </c>
    </row>
    <row r="9" spans="2:9" ht="15" thickBot="1"/>
    <row r="10" spans="2:9" ht="30" customHeight="1">
      <c r="B10" s="466" t="s">
        <v>1656</v>
      </c>
      <c r="C10" s="465" t="s">
        <v>1654</v>
      </c>
      <c r="D10" s="465" t="s">
        <v>1655</v>
      </c>
      <c r="E10" s="465" t="s">
        <v>1654</v>
      </c>
      <c r="F10" s="465" t="s">
        <v>1653</v>
      </c>
      <c r="G10" s="465" t="s">
        <v>1652</v>
      </c>
      <c r="H10" s="465" t="s">
        <v>1692</v>
      </c>
      <c r="I10" s="463" t="s">
        <v>1651</v>
      </c>
    </row>
    <row r="11" spans="2:9" ht="33.65" customHeight="1">
      <c r="B11" s="212" t="s">
        <v>1556</v>
      </c>
      <c r="C11" s="2" t="s">
        <v>1691</v>
      </c>
      <c r="D11" s="123" t="s">
        <v>1667</v>
      </c>
      <c r="E11" s="2" t="s">
        <v>1666</v>
      </c>
      <c r="F11" s="10" t="s">
        <v>1645</v>
      </c>
      <c r="G11" s="2" t="s">
        <v>1663</v>
      </c>
      <c r="H11" s="2"/>
      <c r="I11" s="213" t="s">
        <v>1643</v>
      </c>
    </row>
    <row r="12" spans="2:9" ht="29">
      <c r="B12" s="212" t="s">
        <v>1560</v>
      </c>
      <c r="C12" s="2" t="s">
        <v>1691</v>
      </c>
      <c r="D12" s="123" t="s">
        <v>1667</v>
      </c>
      <c r="E12" s="2" t="s">
        <v>1666</v>
      </c>
      <c r="F12" s="10" t="s">
        <v>1645</v>
      </c>
      <c r="G12" s="2" t="s">
        <v>1663</v>
      </c>
      <c r="H12" s="2"/>
      <c r="I12" s="213" t="s">
        <v>1643</v>
      </c>
    </row>
    <row r="13" spans="2:9" ht="29">
      <c r="B13" s="212" t="s">
        <v>1562</v>
      </c>
      <c r="C13" s="2" t="s">
        <v>1690</v>
      </c>
      <c r="D13" s="123" t="s">
        <v>1667</v>
      </c>
      <c r="E13" s="2" t="s">
        <v>1666</v>
      </c>
      <c r="F13" s="10" t="s">
        <v>1645</v>
      </c>
      <c r="G13" s="2" t="s">
        <v>1663</v>
      </c>
      <c r="H13" s="2"/>
      <c r="I13" s="213" t="s">
        <v>1643</v>
      </c>
    </row>
    <row r="14" spans="2:9" ht="29">
      <c r="B14" s="212" t="s">
        <v>1443</v>
      </c>
      <c r="C14" s="2" t="s">
        <v>1689</v>
      </c>
      <c r="D14" s="123" t="s">
        <v>1667</v>
      </c>
      <c r="E14" s="2" t="s">
        <v>1666</v>
      </c>
      <c r="F14" s="10" t="s">
        <v>1645</v>
      </c>
      <c r="G14" s="2" t="s">
        <v>1663</v>
      </c>
      <c r="H14" s="2"/>
      <c r="I14" s="213" t="s">
        <v>1643</v>
      </c>
    </row>
    <row r="15" spans="2:9" ht="30.5">
      <c r="B15" s="212" t="s">
        <v>1688</v>
      </c>
      <c r="C15" s="2" t="s">
        <v>1687</v>
      </c>
      <c r="D15" s="123" t="s">
        <v>1667</v>
      </c>
      <c r="E15" s="2" t="s">
        <v>1666</v>
      </c>
      <c r="F15" s="10" t="s">
        <v>1645</v>
      </c>
      <c r="G15" s="2" t="s">
        <v>1663</v>
      </c>
      <c r="H15" s="487" t="s">
        <v>547</v>
      </c>
      <c r="I15" s="213" t="s">
        <v>1643</v>
      </c>
    </row>
    <row r="16" spans="2:9" ht="29">
      <c r="B16" s="212" t="s">
        <v>1293</v>
      </c>
      <c r="C16" s="2" t="s">
        <v>1686</v>
      </c>
      <c r="D16" s="123" t="s">
        <v>1667</v>
      </c>
      <c r="E16" s="2" t="s">
        <v>1666</v>
      </c>
      <c r="F16" s="10" t="s">
        <v>1645</v>
      </c>
      <c r="G16" s="2" t="s">
        <v>1663</v>
      </c>
      <c r="H16" s="2"/>
      <c r="I16" s="213" t="s">
        <v>1643</v>
      </c>
    </row>
    <row r="17" spans="2:9" ht="29">
      <c r="B17" s="212" t="s">
        <v>1685</v>
      </c>
      <c r="C17" s="2" t="s">
        <v>1684</v>
      </c>
      <c r="D17" s="123" t="s">
        <v>1667</v>
      </c>
      <c r="E17" s="2" t="s">
        <v>1666</v>
      </c>
      <c r="F17" s="10" t="s">
        <v>1645</v>
      </c>
      <c r="G17" s="2" t="s">
        <v>1663</v>
      </c>
      <c r="H17" s="2"/>
      <c r="I17" s="213" t="s">
        <v>1643</v>
      </c>
    </row>
    <row r="18" spans="2:9" ht="29">
      <c r="B18" s="212" t="s">
        <v>1302</v>
      </c>
      <c r="C18" s="2" t="s">
        <v>1683</v>
      </c>
      <c r="D18" s="123" t="s">
        <v>1667</v>
      </c>
      <c r="E18" s="2" t="s">
        <v>1666</v>
      </c>
      <c r="F18" s="10" t="s">
        <v>1645</v>
      </c>
      <c r="G18" s="2" t="s">
        <v>1663</v>
      </c>
      <c r="H18" s="2"/>
      <c r="I18" s="213" t="s">
        <v>1643</v>
      </c>
    </row>
    <row r="19" spans="2:9" ht="29">
      <c r="B19" s="212" t="s">
        <v>1303</v>
      </c>
      <c r="C19" s="2" t="s">
        <v>1682</v>
      </c>
      <c r="D19" s="123" t="s">
        <v>1667</v>
      </c>
      <c r="E19" s="2" t="s">
        <v>1666</v>
      </c>
      <c r="F19" s="10" t="s">
        <v>1645</v>
      </c>
      <c r="G19" s="2" t="s">
        <v>1663</v>
      </c>
      <c r="H19" s="2"/>
      <c r="I19" s="213"/>
    </row>
    <row r="20" spans="2:9" ht="28.9" customHeight="1">
      <c r="B20" s="212" t="s">
        <v>232</v>
      </c>
      <c r="C20" s="2" t="s">
        <v>1681</v>
      </c>
      <c r="D20" s="123" t="s">
        <v>1667</v>
      </c>
      <c r="E20" s="2" t="s">
        <v>1666</v>
      </c>
      <c r="F20" s="10" t="s">
        <v>1645</v>
      </c>
      <c r="G20" s="2" t="s">
        <v>1663</v>
      </c>
      <c r="H20" s="487" t="s">
        <v>547</v>
      </c>
      <c r="I20" s="213" t="s">
        <v>1643</v>
      </c>
    </row>
    <row r="21" spans="2:9" ht="27.65" customHeight="1">
      <c r="B21" s="212" t="s">
        <v>77</v>
      </c>
      <c r="C21" s="2" t="s">
        <v>1680</v>
      </c>
      <c r="D21" s="123" t="s">
        <v>1667</v>
      </c>
      <c r="E21" s="2" t="s">
        <v>1666</v>
      </c>
      <c r="F21" s="10" t="s">
        <v>1645</v>
      </c>
      <c r="G21" s="2" t="s">
        <v>1663</v>
      </c>
      <c r="H21" s="487" t="s">
        <v>547</v>
      </c>
      <c r="I21" s="213"/>
    </row>
    <row r="22" spans="2:9" ht="30" customHeight="1">
      <c r="B22" s="212" t="s">
        <v>154</v>
      </c>
      <c r="C22" s="2" t="s">
        <v>1679</v>
      </c>
      <c r="D22" s="123" t="s">
        <v>1667</v>
      </c>
      <c r="E22" s="2" t="s">
        <v>1666</v>
      </c>
      <c r="F22" s="10" t="s">
        <v>1645</v>
      </c>
      <c r="G22" s="2" t="s">
        <v>1663</v>
      </c>
      <c r="H22" s="487" t="s">
        <v>547</v>
      </c>
      <c r="I22" s="213"/>
    </row>
    <row r="23" spans="2:9" ht="29.5" customHeight="1">
      <c r="B23" s="212" t="s">
        <v>79</v>
      </c>
      <c r="C23" s="2" t="s">
        <v>1678</v>
      </c>
      <c r="D23" s="123" t="s">
        <v>1667</v>
      </c>
      <c r="E23" s="2" t="s">
        <v>1666</v>
      </c>
      <c r="F23" s="10" t="s">
        <v>1645</v>
      </c>
      <c r="G23" s="2" t="s">
        <v>1663</v>
      </c>
      <c r="H23" s="487" t="s">
        <v>547</v>
      </c>
      <c r="I23" s="213"/>
    </row>
    <row r="24" spans="2:9" ht="29.5" customHeight="1">
      <c r="B24" s="212" t="s">
        <v>78</v>
      </c>
      <c r="C24" s="2" t="s">
        <v>1677</v>
      </c>
      <c r="D24" s="123" t="s">
        <v>1667</v>
      </c>
      <c r="E24" s="2" t="s">
        <v>1666</v>
      </c>
      <c r="F24" s="10" t="s">
        <v>1645</v>
      </c>
      <c r="G24" s="2" t="s">
        <v>1663</v>
      </c>
      <c r="H24" s="487" t="s">
        <v>547</v>
      </c>
      <c r="I24" s="213"/>
    </row>
    <row r="25" spans="2:9" ht="29.5" customHeight="1">
      <c r="B25" s="488" t="s">
        <v>1738</v>
      </c>
      <c r="C25" s="5" t="s">
        <v>1755</v>
      </c>
      <c r="D25" s="489" t="s">
        <v>1667</v>
      </c>
      <c r="E25" s="5" t="s">
        <v>1666</v>
      </c>
      <c r="F25" s="490" t="s">
        <v>1645</v>
      </c>
      <c r="G25" s="5" t="s">
        <v>1663</v>
      </c>
      <c r="H25" s="491" t="s">
        <v>547</v>
      </c>
      <c r="I25" s="492"/>
    </row>
    <row r="26" spans="2:9" ht="30" customHeight="1">
      <c r="B26" s="212" t="s">
        <v>1085</v>
      </c>
      <c r="C26" s="2" t="s">
        <v>1676</v>
      </c>
      <c r="D26" s="123" t="s">
        <v>1667</v>
      </c>
      <c r="E26" s="2" t="s">
        <v>1666</v>
      </c>
      <c r="F26" s="10" t="s">
        <v>1645</v>
      </c>
      <c r="G26" s="2" t="s">
        <v>1663</v>
      </c>
      <c r="H26" s="2"/>
      <c r="I26" s="213" t="s">
        <v>1643</v>
      </c>
    </row>
    <row r="27" spans="2:9" ht="62.5" customHeight="1">
      <c r="B27" s="212" t="s">
        <v>1675</v>
      </c>
      <c r="C27" s="2" t="s">
        <v>1674</v>
      </c>
      <c r="D27" s="123" t="s">
        <v>1659</v>
      </c>
      <c r="E27" s="123" t="s">
        <v>1658</v>
      </c>
      <c r="F27" s="10" t="s">
        <v>1645</v>
      </c>
      <c r="G27" s="2" t="s">
        <v>1663</v>
      </c>
      <c r="H27" s="2"/>
      <c r="I27" s="213" t="s">
        <v>1643</v>
      </c>
    </row>
    <row r="28" spans="2:9" ht="40.9" customHeight="1">
      <c r="B28" s="212" t="s">
        <v>1673</v>
      </c>
      <c r="C28" s="2" t="s">
        <v>1672</v>
      </c>
      <c r="D28" s="123" t="s">
        <v>1667</v>
      </c>
      <c r="E28" s="2" t="s">
        <v>1666</v>
      </c>
      <c r="F28" s="10">
        <v>1433</v>
      </c>
      <c r="G28" s="2"/>
      <c r="H28" s="2"/>
      <c r="I28" s="493" t="s">
        <v>1671</v>
      </c>
    </row>
    <row r="29" spans="2:9" ht="28.9" customHeight="1">
      <c r="B29" s="212" t="s">
        <v>1670</v>
      </c>
      <c r="C29" s="2" t="s">
        <v>1668</v>
      </c>
      <c r="D29" s="123" t="s">
        <v>1667</v>
      </c>
      <c r="E29" s="2" t="s">
        <v>1666</v>
      </c>
      <c r="F29" s="10" t="s">
        <v>1645</v>
      </c>
      <c r="G29" s="2" t="s">
        <v>1663</v>
      </c>
      <c r="H29" s="2"/>
      <c r="I29" s="213"/>
    </row>
    <row r="30" spans="2:9" ht="28.9" customHeight="1">
      <c r="B30" s="212" t="s">
        <v>1669</v>
      </c>
      <c r="C30" s="2" t="s">
        <v>1668</v>
      </c>
      <c r="D30" s="123" t="s">
        <v>1667</v>
      </c>
      <c r="E30" s="2" t="s">
        <v>1666</v>
      </c>
      <c r="F30" s="10" t="s">
        <v>1645</v>
      </c>
      <c r="G30" s="2" t="s">
        <v>1663</v>
      </c>
      <c r="H30" s="2"/>
      <c r="I30" s="213"/>
    </row>
    <row r="31" spans="2:9" ht="28.9" customHeight="1">
      <c r="B31" s="488" t="s">
        <v>1669</v>
      </c>
      <c r="C31" s="5" t="s">
        <v>1668</v>
      </c>
      <c r="D31" s="489" t="s">
        <v>1738</v>
      </c>
      <c r="E31" s="5" t="s">
        <v>1756</v>
      </c>
      <c r="F31" s="490">
        <v>1433</v>
      </c>
      <c r="G31" s="2"/>
      <c r="H31" s="2"/>
      <c r="I31" s="213"/>
    </row>
    <row r="32" spans="2:9" ht="58">
      <c r="B32" s="212" t="s">
        <v>135</v>
      </c>
      <c r="C32" s="2" t="s">
        <v>1665</v>
      </c>
      <c r="D32" s="123" t="s">
        <v>1664</v>
      </c>
      <c r="E32" s="123" t="s">
        <v>1658</v>
      </c>
      <c r="F32" s="10" t="s">
        <v>1645</v>
      </c>
      <c r="G32" s="2" t="s">
        <v>1663</v>
      </c>
      <c r="H32" s="2"/>
      <c r="I32" s="213" t="s">
        <v>1643</v>
      </c>
    </row>
    <row r="33" spans="2:9" ht="58">
      <c r="B33" s="212" t="s">
        <v>1410</v>
      </c>
      <c r="C33" s="2" t="s">
        <v>1661</v>
      </c>
      <c r="D33" s="123" t="s">
        <v>1659</v>
      </c>
      <c r="E33" s="123" t="s">
        <v>1658</v>
      </c>
      <c r="F33" s="10">
        <v>1433</v>
      </c>
      <c r="G33" s="2"/>
      <c r="H33" s="2"/>
      <c r="I33" s="213"/>
    </row>
    <row r="34" spans="2:9" ht="58">
      <c r="B34" s="212" t="s">
        <v>1178</v>
      </c>
      <c r="C34" s="2" t="s">
        <v>1661</v>
      </c>
      <c r="D34" s="123" t="s">
        <v>1659</v>
      </c>
      <c r="E34" s="123" t="s">
        <v>1658</v>
      </c>
      <c r="F34" s="10">
        <v>1433</v>
      </c>
      <c r="G34" s="2"/>
      <c r="H34" s="2"/>
      <c r="I34" s="213"/>
    </row>
    <row r="35" spans="2:9" ht="57" customHeight="1">
      <c r="B35" s="212" t="s">
        <v>1662</v>
      </c>
      <c r="C35" s="2" t="s">
        <v>1661</v>
      </c>
      <c r="D35" s="123" t="s">
        <v>1659</v>
      </c>
      <c r="E35" s="123" t="s">
        <v>1658</v>
      </c>
      <c r="F35" s="10">
        <v>1433</v>
      </c>
      <c r="G35" s="2"/>
      <c r="H35" s="2"/>
      <c r="I35" s="213"/>
    </row>
    <row r="36" spans="2:9" ht="57" customHeight="1">
      <c r="B36" s="212" t="s">
        <v>1309</v>
      </c>
      <c r="C36" s="2" t="s">
        <v>1660</v>
      </c>
      <c r="D36" s="123" t="s">
        <v>1659</v>
      </c>
      <c r="E36" s="123" t="s">
        <v>1658</v>
      </c>
      <c r="F36" s="10">
        <v>1433</v>
      </c>
      <c r="G36" s="2"/>
      <c r="H36" s="2"/>
      <c r="I36" s="213"/>
    </row>
    <row r="37" spans="2:9" ht="27" customHeight="1">
      <c r="B37" s="494" t="s">
        <v>135</v>
      </c>
      <c r="C37" s="473" t="s">
        <v>1665</v>
      </c>
      <c r="D37" s="495" t="s">
        <v>1757</v>
      </c>
      <c r="E37" s="495" t="s">
        <v>1758</v>
      </c>
      <c r="F37" s="496">
        <v>1433</v>
      </c>
      <c r="G37" s="473"/>
      <c r="H37" s="473"/>
      <c r="I37" s="497"/>
    </row>
    <row r="38" spans="2:9" ht="61.9" customHeight="1">
      <c r="B38" s="498" t="s">
        <v>1759</v>
      </c>
      <c r="C38" s="473" t="s">
        <v>1760</v>
      </c>
      <c r="D38" s="495" t="s">
        <v>1659</v>
      </c>
      <c r="E38" s="495" t="s">
        <v>1658</v>
      </c>
      <c r="F38" s="499">
        <v>1433</v>
      </c>
      <c r="G38" s="473"/>
      <c r="H38" s="495"/>
      <c r="I38" s="497"/>
    </row>
    <row r="39" spans="2:9" ht="40.4" customHeight="1">
      <c r="B39" s="498" t="s">
        <v>1303</v>
      </c>
      <c r="C39" s="473" t="s">
        <v>1682</v>
      </c>
      <c r="D39" s="495" t="s">
        <v>1667</v>
      </c>
      <c r="E39" s="495" t="s">
        <v>1666</v>
      </c>
      <c r="F39" s="499" t="s">
        <v>1645</v>
      </c>
      <c r="G39" s="473" t="s">
        <v>1663</v>
      </c>
      <c r="H39" s="495"/>
      <c r="I39" s="497"/>
    </row>
    <row r="40" spans="2:9" ht="34.4" customHeight="1">
      <c r="B40" s="498" t="s">
        <v>1761</v>
      </c>
      <c r="C40" s="473" t="s">
        <v>1762</v>
      </c>
      <c r="D40" s="495" t="s">
        <v>1763</v>
      </c>
      <c r="E40" s="495" t="s">
        <v>1634</v>
      </c>
      <c r="F40" s="499">
        <v>1433</v>
      </c>
      <c r="G40" s="473" t="s">
        <v>1764</v>
      </c>
      <c r="H40" s="495"/>
      <c r="I40" s="497"/>
    </row>
    <row r="41" spans="2:9" ht="38.5" customHeight="1">
      <c r="B41" s="498" t="s">
        <v>1338</v>
      </c>
      <c r="C41" s="473" t="s">
        <v>1765</v>
      </c>
      <c r="D41" s="495" t="s">
        <v>1763</v>
      </c>
      <c r="E41" s="495" t="s">
        <v>1634</v>
      </c>
      <c r="F41" s="499">
        <v>1433</v>
      </c>
      <c r="G41" s="473"/>
      <c r="H41" s="495"/>
      <c r="I41" s="497"/>
    </row>
    <row r="42" spans="2:9" ht="42.65" customHeight="1">
      <c r="B42" s="498" t="s">
        <v>1766</v>
      </c>
      <c r="C42" s="495" t="s">
        <v>1767</v>
      </c>
      <c r="D42" s="495" t="s">
        <v>1763</v>
      </c>
      <c r="E42" s="495" t="s">
        <v>1634</v>
      </c>
      <c r="F42" s="499" t="s">
        <v>1645</v>
      </c>
      <c r="G42" s="473" t="s">
        <v>1644</v>
      </c>
      <c r="H42" s="495"/>
      <c r="I42" s="497"/>
    </row>
    <row r="43" spans="2:9" ht="34.9" customHeight="1">
      <c r="B43" s="498" t="s">
        <v>1558</v>
      </c>
      <c r="C43" s="495" t="s">
        <v>1768</v>
      </c>
      <c r="D43" s="495" t="s">
        <v>1667</v>
      </c>
      <c r="E43" s="495" t="s">
        <v>1666</v>
      </c>
      <c r="F43" s="499">
        <v>1433</v>
      </c>
      <c r="G43" s="473"/>
      <c r="H43" s="495"/>
      <c r="I43" s="497"/>
    </row>
    <row r="44" spans="2:9" ht="42.65" customHeight="1">
      <c r="B44" s="498" t="s">
        <v>1769</v>
      </c>
      <c r="C44" s="473" t="s">
        <v>1691</v>
      </c>
      <c r="D44" s="495" t="s">
        <v>1667</v>
      </c>
      <c r="E44" s="495" t="s">
        <v>1666</v>
      </c>
      <c r="F44" s="499" t="s">
        <v>1645</v>
      </c>
      <c r="G44" s="473" t="s">
        <v>1663</v>
      </c>
      <c r="H44" s="495"/>
      <c r="I44" s="497" t="s">
        <v>1643</v>
      </c>
    </row>
    <row r="45" spans="2:9" ht="40.9" customHeight="1">
      <c r="B45" s="498" t="s">
        <v>1562</v>
      </c>
      <c r="C45" s="473" t="s">
        <v>1690</v>
      </c>
      <c r="D45" s="495" t="s">
        <v>1667</v>
      </c>
      <c r="E45" s="495" t="s">
        <v>1666</v>
      </c>
      <c r="F45" s="499" t="s">
        <v>1645</v>
      </c>
      <c r="G45" s="473" t="s">
        <v>1663</v>
      </c>
      <c r="H45" s="495"/>
      <c r="I45" s="497" t="s">
        <v>1643</v>
      </c>
    </row>
    <row r="46" spans="2:9" ht="46.4" customHeight="1" thickBot="1">
      <c r="B46" s="500" t="s">
        <v>1770</v>
      </c>
      <c r="C46" s="501" t="s">
        <v>1665</v>
      </c>
      <c r="D46" s="502" t="s">
        <v>1757</v>
      </c>
      <c r="E46" s="501" t="s">
        <v>1758</v>
      </c>
      <c r="F46" s="503" t="s">
        <v>1771</v>
      </c>
      <c r="G46" s="501" t="s">
        <v>1630</v>
      </c>
      <c r="H46" s="502"/>
      <c r="I46" s="504"/>
    </row>
    <row r="49" spans="2:9" ht="18.5">
      <c r="B49" s="467" t="s">
        <v>1657</v>
      </c>
    </row>
    <row r="50" spans="2:9" ht="15" thickBot="1"/>
    <row r="51" spans="2:9" ht="30" customHeight="1" thickBot="1">
      <c r="B51" s="466" t="s">
        <v>1656</v>
      </c>
      <c r="C51" s="465" t="s">
        <v>1654</v>
      </c>
      <c r="D51" s="465" t="s">
        <v>1655</v>
      </c>
      <c r="E51" s="465" t="s">
        <v>1654</v>
      </c>
      <c r="F51" s="465" t="s">
        <v>1653</v>
      </c>
      <c r="G51" s="465" t="s">
        <v>1652</v>
      </c>
      <c r="H51" s="464"/>
      <c r="I51" s="463" t="s">
        <v>1651</v>
      </c>
    </row>
    <row r="52" spans="2:9" ht="28.9" customHeight="1">
      <c r="B52" s="505" t="s">
        <v>1580</v>
      </c>
      <c r="C52" s="462" t="s">
        <v>1650</v>
      </c>
      <c r="D52" s="462" t="s">
        <v>1635</v>
      </c>
      <c r="E52" s="462" t="s">
        <v>1634</v>
      </c>
      <c r="F52" s="461" t="s">
        <v>1645</v>
      </c>
      <c r="G52" s="460" t="s">
        <v>1644</v>
      </c>
      <c r="H52" s="459"/>
      <c r="I52" s="458"/>
    </row>
    <row r="53" spans="2:9" ht="28.9" customHeight="1">
      <c r="B53" s="212" t="s">
        <v>1578</v>
      </c>
      <c r="C53" s="123" t="s">
        <v>1649</v>
      </c>
      <c r="D53" s="123" t="s">
        <v>1635</v>
      </c>
      <c r="E53" s="123" t="s">
        <v>1634</v>
      </c>
      <c r="F53" s="10" t="s">
        <v>1645</v>
      </c>
      <c r="G53" s="2" t="s">
        <v>1644</v>
      </c>
      <c r="H53" s="25"/>
      <c r="I53" s="213"/>
    </row>
    <row r="54" spans="2:9" ht="29.5" customHeight="1">
      <c r="B54" s="212" t="s">
        <v>1648</v>
      </c>
      <c r="C54" s="2" t="s">
        <v>1647</v>
      </c>
      <c r="D54" s="123" t="s">
        <v>1635</v>
      </c>
      <c r="E54" s="123" t="s">
        <v>1634</v>
      </c>
      <c r="F54" s="10" t="s">
        <v>1645</v>
      </c>
      <c r="G54" s="2" t="s">
        <v>1644</v>
      </c>
      <c r="H54" s="25"/>
      <c r="I54" s="213" t="s">
        <v>1643</v>
      </c>
    </row>
    <row r="55" spans="2:9" ht="28.4" customHeight="1">
      <c r="B55" s="212" t="s">
        <v>1646</v>
      </c>
      <c r="C55" s="2" t="s">
        <v>1193</v>
      </c>
      <c r="D55" s="123" t="s">
        <v>1635</v>
      </c>
      <c r="E55" s="123" t="s">
        <v>1634</v>
      </c>
      <c r="F55" s="10" t="s">
        <v>1645</v>
      </c>
      <c r="G55" s="2" t="s">
        <v>1644</v>
      </c>
      <c r="H55" s="25"/>
      <c r="I55" s="213" t="s">
        <v>1643</v>
      </c>
    </row>
    <row r="56" spans="2:9" ht="27.65" customHeight="1">
      <c r="B56" s="212" t="s">
        <v>324</v>
      </c>
      <c r="C56" s="2" t="s">
        <v>4</v>
      </c>
      <c r="D56" s="123" t="s">
        <v>1635</v>
      </c>
      <c r="E56" s="123" t="s">
        <v>1634</v>
      </c>
      <c r="F56" s="10" t="s">
        <v>1645</v>
      </c>
      <c r="G56" s="2" t="s">
        <v>1644</v>
      </c>
      <c r="H56" s="25"/>
      <c r="I56" s="213" t="s">
        <v>1643</v>
      </c>
    </row>
    <row r="57" spans="2:9" ht="33.65" customHeight="1">
      <c r="B57" s="212" t="s">
        <v>1082</v>
      </c>
      <c r="C57" s="2" t="s">
        <v>3</v>
      </c>
      <c r="D57" s="123" t="s">
        <v>1635</v>
      </c>
      <c r="E57" s="123" t="s">
        <v>1634</v>
      </c>
      <c r="F57" s="10" t="s">
        <v>1645</v>
      </c>
      <c r="G57" s="2" t="s">
        <v>1644</v>
      </c>
      <c r="H57" s="25"/>
      <c r="I57" s="213" t="s">
        <v>1643</v>
      </c>
    </row>
    <row r="58" spans="2:9" ht="26.5" customHeight="1">
      <c r="B58" s="212" t="s">
        <v>757</v>
      </c>
      <c r="C58" s="2" t="s">
        <v>1420</v>
      </c>
      <c r="D58" s="123" t="s">
        <v>1635</v>
      </c>
      <c r="E58" s="123" t="s">
        <v>1634</v>
      </c>
      <c r="F58" s="10">
        <v>1433</v>
      </c>
      <c r="G58" s="2"/>
      <c r="H58" s="25"/>
      <c r="I58" s="213"/>
    </row>
    <row r="59" spans="2:9" ht="26.5" customHeight="1">
      <c r="B59" s="212" t="s">
        <v>1180</v>
      </c>
      <c r="C59" s="2" t="s">
        <v>1642</v>
      </c>
      <c r="D59" s="123" t="s">
        <v>1635</v>
      </c>
      <c r="E59" s="123" t="s">
        <v>1634</v>
      </c>
      <c r="F59" s="10">
        <v>1433</v>
      </c>
      <c r="G59" s="2"/>
      <c r="H59" s="25"/>
      <c r="I59" s="213"/>
    </row>
    <row r="60" spans="2:9" ht="26.5" customHeight="1">
      <c r="B60" s="212" t="s">
        <v>1641</v>
      </c>
      <c r="C60" s="212" t="s">
        <v>1640</v>
      </c>
      <c r="D60" s="123" t="s">
        <v>1635</v>
      </c>
      <c r="E60" s="123" t="s">
        <v>1634</v>
      </c>
      <c r="F60" s="10">
        <v>1433</v>
      </c>
      <c r="G60" s="2"/>
      <c r="H60" s="25"/>
      <c r="I60" s="213"/>
    </row>
    <row r="61" spans="2:9" ht="26.5" customHeight="1">
      <c r="B61" s="212" t="s">
        <v>1639</v>
      </c>
      <c r="C61" s="212" t="s">
        <v>1638</v>
      </c>
      <c r="D61" s="123" t="s">
        <v>1635</v>
      </c>
      <c r="E61" s="123" t="s">
        <v>1634</v>
      </c>
      <c r="F61" s="10">
        <v>1433</v>
      </c>
      <c r="G61" s="2"/>
      <c r="H61" s="25"/>
      <c r="I61" s="213"/>
    </row>
    <row r="62" spans="2:9" ht="26.5" customHeight="1">
      <c r="B62" s="212" t="s">
        <v>1637</v>
      </c>
      <c r="C62" s="212" t="s">
        <v>1636</v>
      </c>
      <c r="D62" s="123" t="s">
        <v>1635</v>
      </c>
      <c r="E62" s="123" t="s">
        <v>1634</v>
      </c>
      <c r="F62" s="10">
        <v>1433</v>
      </c>
      <c r="G62" s="2"/>
      <c r="H62" s="25"/>
      <c r="I62" s="213"/>
    </row>
    <row r="63" spans="2:9" ht="26.5" customHeight="1">
      <c r="B63" s="212"/>
      <c r="C63" s="212"/>
      <c r="D63" s="212"/>
      <c r="E63" s="2"/>
      <c r="F63" s="10"/>
      <c r="G63" s="2"/>
      <c r="H63" s="25"/>
      <c r="I63" s="213"/>
    </row>
    <row r="64" spans="2:9">
      <c r="B64" s="212" t="s">
        <v>1633</v>
      </c>
      <c r="C64" s="2"/>
      <c r="D64" s="2"/>
      <c r="E64" s="2"/>
      <c r="F64" s="10"/>
      <c r="G64" s="2"/>
      <c r="H64" s="25"/>
      <c r="I64" s="213"/>
    </row>
    <row r="65" spans="2:9" ht="15" thickBot="1">
      <c r="B65" s="214" t="s">
        <v>1632</v>
      </c>
      <c r="C65" s="215"/>
      <c r="D65" s="215"/>
      <c r="E65" s="215"/>
      <c r="F65" s="457"/>
      <c r="G65" s="215"/>
      <c r="H65" s="217"/>
      <c r="I65" s="216"/>
    </row>
    <row r="67" spans="2:9" ht="15" thickBot="1">
      <c r="B67" s="536" t="s">
        <v>1631</v>
      </c>
      <c r="C67" s="537"/>
    </row>
    <row r="68" spans="2:9">
      <c r="B68" s="456" t="s">
        <v>1552</v>
      </c>
      <c r="C68" s="455" t="s">
        <v>1551</v>
      </c>
      <c r="D68" s="454" t="s">
        <v>1553</v>
      </c>
      <c r="E68" s="453"/>
      <c r="F68" s="452"/>
      <c r="G68" s="451" t="s">
        <v>1630</v>
      </c>
      <c r="H68" s="450"/>
    </row>
    <row r="69" spans="2:9">
      <c r="B69" s="448" t="s">
        <v>1577</v>
      </c>
      <c r="C69" s="47" t="s">
        <v>1607</v>
      </c>
      <c r="D69" s="47" t="s">
        <v>1629</v>
      </c>
      <c r="E69" s="47" t="s">
        <v>1453</v>
      </c>
      <c r="F69" s="447" t="s">
        <v>1585</v>
      </c>
      <c r="G69" s="446" t="s">
        <v>1626</v>
      </c>
      <c r="H69" s="445"/>
    </row>
    <row r="70" spans="2:9">
      <c r="B70" s="448" t="s">
        <v>1554</v>
      </c>
      <c r="C70" s="47" t="s">
        <v>1606</v>
      </c>
      <c r="D70" s="47" t="s">
        <v>1629</v>
      </c>
      <c r="E70" s="47" t="s">
        <v>1555</v>
      </c>
      <c r="F70" s="447" t="s">
        <v>1585</v>
      </c>
      <c r="G70" s="449" t="s">
        <v>1628</v>
      </c>
      <c r="H70" s="105"/>
    </row>
    <row r="71" spans="2:9">
      <c r="B71" s="448" t="s">
        <v>1607</v>
      </c>
      <c r="C71" s="47" t="s">
        <v>1577</v>
      </c>
      <c r="D71" s="47" t="s">
        <v>1629</v>
      </c>
      <c r="E71" s="47" t="s">
        <v>1453</v>
      </c>
      <c r="F71" s="447" t="s">
        <v>1585</v>
      </c>
      <c r="G71" s="449" t="s">
        <v>1625</v>
      </c>
      <c r="H71" s="105"/>
    </row>
    <row r="72" spans="2:9">
      <c r="B72" s="448" t="s">
        <v>1606</v>
      </c>
      <c r="C72" s="47" t="s">
        <v>1554</v>
      </c>
      <c r="D72" s="47" t="s">
        <v>1629</v>
      </c>
      <c r="E72" s="47" t="s">
        <v>1555</v>
      </c>
      <c r="F72" s="447" t="s">
        <v>1585</v>
      </c>
      <c r="G72" s="449" t="s">
        <v>1627</v>
      </c>
      <c r="H72" s="105"/>
    </row>
    <row r="73" spans="2:9">
      <c r="B73" s="448" t="s">
        <v>1176</v>
      </c>
      <c r="C73" s="47" t="s">
        <v>1606</v>
      </c>
      <c r="D73" s="47" t="s">
        <v>1591</v>
      </c>
      <c r="E73" s="47" t="s">
        <v>1441</v>
      </c>
      <c r="F73" s="447" t="s">
        <v>1590</v>
      </c>
      <c r="G73" s="449" t="s">
        <v>1628</v>
      </c>
      <c r="H73" s="105"/>
    </row>
    <row r="74" spans="2:9">
      <c r="B74" s="448" t="s">
        <v>1176</v>
      </c>
      <c r="C74" s="47" t="s">
        <v>1607</v>
      </c>
      <c r="D74" s="47" t="s">
        <v>1591</v>
      </c>
      <c r="E74" s="47" t="s">
        <v>1441</v>
      </c>
      <c r="F74" s="447" t="s">
        <v>1590</v>
      </c>
      <c r="G74" s="446" t="s">
        <v>1626</v>
      </c>
      <c r="H74" s="445"/>
    </row>
    <row r="75" spans="2:9">
      <c r="B75" s="448" t="s">
        <v>1606</v>
      </c>
      <c r="C75" s="47" t="s">
        <v>1176</v>
      </c>
      <c r="D75" s="47" t="s">
        <v>1591</v>
      </c>
      <c r="E75" s="47" t="s">
        <v>1441</v>
      </c>
      <c r="F75" s="447" t="s">
        <v>1590</v>
      </c>
      <c r="G75" s="449" t="s">
        <v>1627</v>
      </c>
      <c r="H75" s="105"/>
    </row>
    <row r="76" spans="2:9">
      <c r="B76" s="448" t="s">
        <v>1607</v>
      </c>
      <c r="C76" s="47" t="s">
        <v>1176</v>
      </c>
      <c r="D76" s="47" t="s">
        <v>1591</v>
      </c>
      <c r="E76" s="47" t="s">
        <v>1441</v>
      </c>
      <c r="F76" s="447" t="s">
        <v>1590</v>
      </c>
      <c r="G76" s="449" t="s">
        <v>1625</v>
      </c>
      <c r="H76" s="105"/>
    </row>
    <row r="77" spans="2:9">
      <c r="B77" s="448" t="s">
        <v>82</v>
      </c>
      <c r="C77" s="47" t="s">
        <v>1607</v>
      </c>
      <c r="D77" s="47" t="s">
        <v>1591</v>
      </c>
      <c r="E77" s="47" t="s">
        <v>1586</v>
      </c>
      <c r="F77" s="447" t="s">
        <v>1590</v>
      </c>
      <c r="G77" s="446" t="s">
        <v>1626</v>
      </c>
      <c r="H77" s="445"/>
    </row>
    <row r="78" spans="2:9" ht="15" thickBot="1">
      <c r="B78" s="444" t="s">
        <v>1607</v>
      </c>
      <c r="C78" s="443" t="s">
        <v>82</v>
      </c>
      <c r="D78" s="443" t="s">
        <v>1591</v>
      </c>
      <c r="E78" s="443" t="s">
        <v>1586</v>
      </c>
      <c r="F78" s="442" t="s">
        <v>1590</v>
      </c>
      <c r="G78" s="506" t="s">
        <v>1625</v>
      </c>
      <c r="H78" s="105"/>
    </row>
    <row r="94" spans="2:6">
      <c r="B94" s="369" t="s">
        <v>1552</v>
      </c>
      <c r="C94" s="369" t="s">
        <v>1551</v>
      </c>
      <c r="D94" s="431" t="s">
        <v>1553</v>
      </c>
      <c r="E94" s="430"/>
      <c r="F94" s="2"/>
    </row>
    <row r="95" spans="2:6">
      <c r="B95" s="433" t="s">
        <v>1577</v>
      </c>
      <c r="C95" s="433" t="s">
        <v>1547</v>
      </c>
      <c r="D95" s="434" t="s">
        <v>1595</v>
      </c>
      <c r="E95" s="433" t="s">
        <v>1453</v>
      </c>
      <c r="F95" s="433" t="s">
        <v>1585</v>
      </c>
    </row>
    <row r="96" spans="2:6">
      <c r="B96" s="433" t="s">
        <v>1554</v>
      </c>
      <c r="C96" s="433" t="s">
        <v>1543</v>
      </c>
      <c r="D96" s="434" t="s">
        <v>1595</v>
      </c>
      <c r="E96" s="433" t="s">
        <v>1555</v>
      </c>
      <c r="F96" s="433" t="s">
        <v>1585</v>
      </c>
    </row>
    <row r="97" spans="2:6">
      <c r="B97" s="433" t="s">
        <v>1547</v>
      </c>
      <c r="C97" s="433" t="s">
        <v>1577</v>
      </c>
      <c r="D97" s="434" t="s">
        <v>1595</v>
      </c>
      <c r="E97" s="433" t="s">
        <v>1453</v>
      </c>
      <c r="F97" s="433" t="s">
        <v>1585</v>
      </c>
    </row>
    <row r="98" spans="2:6">
      <c r="B98" s="433" t="s">
        <v>1543</v>
      </c>
      <c r="C98" s="433" t="s">
        <v>1554</v>
      </c>
      <c r="D98" s="434" t="s">
        <v>1595</v>
      </c>
      <c r="E98" s="433" t="s">
        <v>1555</v>
      </c>
      <c r="F98" s="433" t="s">
        <v>1585</v>
      </c>
    </row>
    <row r="99" spans="2:6">
      <c r="B99" s="433" t="s">
        <v>1176</v>
      </c>
      <c r="C99" s="433" t="s">
        <v>1543</v>
      </c>
      <c r="D99" s="434" t="s">
        <v>1591</v>
      </c>
      <c r="E99" s="433" t="s">
        <v>1441</v>
      </c>
      <c r="F99" s="433" t="s">
        <v>1590</v>
      </c>
    </row>
    <row r="100" spans="2:6">
      <c r="B100" s="433" t="s">
        <v>1176</v>
      </c>
      <c r="C100" s="433" t="s">
        <v>1547</v>
      </c>
      <c r="D100" s="434" t="s">
        <v>1591</v>
      </c>
      <c r="E100" s="433" t="s">
        <v>1441</v>
      </c>
      <c r="F100" s="433" t="s">
        <v>1590</v>
      </c>
    </row>
    <row r="101" spans="2:6">
      <c r="B101" s="433" t="s">
        <v>1543</v>
      </c>
      <c r="C101" s="433" t="s">
        <v>1176</v>
      </c>
      <c r="D101" s="434" t="s">
        <v>1591</v>
      </c>
      <c r="E101" s="433" t="s">
        <v>1441</v>
      </c>
      <c r="F101" s="433" t="s">
        <v>1590</v>
      </c>
    </row>
    <row r="102" spans="2:6">
      <c r="B102" s="433" t="s">
        <v>1547</v>
      </c>
      <c r="C102" s="433" t="s">
        <v>1176</v>
      </c>
      <c r="D102" s="434" t="s">
        <v>1591</v>
      </c>
      <c r="E102" s="433" t="s">
        <v>1441</v>
      </c>
      <c r="F102" s="433" t="s">
        <v>1590</v>
      </c>
    </row>
    <row r="103" spans="2:6">
      <c r="B103" s="435" t="s">
        <v>82</v>
      </c>
      <c r="C103" s="433" t="s">
        <v>1547</v>
      </c>
      <c r="D103" s="434" t="s">
        <v>1591</v>
      </c>
      <c r="E103" s="433" t="s">
        <v>1586</v>
      </c>
      <c r="F103" s="433" t="s">
        <v>1590</v>
      </c>
    </row>
    <row r="104" spans="2:6">
      <c r="B104" s="433" t="s">
        <v>135</v>
      </c>
      <c r="C104" s="433" t="s">
        <v>1547</v>
      </c>
      <c r="D104" s="434" t="s">
        <v>1591</v>
      </c>
      <c r="E104" s="433" t="s">
        <v>1587</v>
      </c>
      <c r="F104" s="433" t="s">
        <v>1590</v>
      </c>
    </row>
    <row r="105" spans="2:6">
      <c r="B105" s="433" t="s">
        <v>135</v>
      </c>
      <c r="C105" s="433" t="s">
        <v>1543</v>
      </c>
      <c r="D105" s="434" t="s">
        <v>1591</v>
      </c>
      <c r="E105" s="433" t="s">
        <v>1587</v>
      </c>
      <c r="F105" s="433" t="s">
        <v>1590</v>
      </c>
    </row>
    <row r="106" spans="2:6">
      <c r="B106" s="433" t="s">
        <v>1588</v>
      </c>
      <c r="C106" s="433" t="s">
        <v>1543</v>
      </c>
      <c r="D106" s="434" t="s">
        <v>1591</v>
      </c>
      <c r="E106" s="433" t="s">
        <v>1589</v>
      </c>
      <c r="F106" s="433" t="s">
        <v>1590</v>
      </c>
    </row>
    <row r="107" spans="2:6">
      <c r="B107" s="433" t="s">
        <v>1588</v>
      </c>
      <c r="C107" s="433" t="s">
        <v>1547</v>
      </c>
      <c r="D107" s="434" t="s">
        <v>1591</v>
      </c>
      <c r="E107" s="433" t="s">
        <v>1589</v>
      </c>
      <c r="F107" s="433" t="s">
        <v>1590</v>
      </c>
    </row>
    <row r="108" spans="2:6">
      <c r="B108" s="369"/>
      <c r="C108" s="369"/>
      <c r="D108" s="431"/>
      <c r="E108" s="2"/>
      <c r="F108" s="2"/>
    </row>
    <row r="109" spans="2:6">
      <c r="B109" s="433" t="s">
        <v>1543</v>
      </c>
      <c r="C109" s="436" t="s">
        <v>232</v>
      </c>
      <c r="D109" s="434" t="s">
        <v>1591</v>
      </c>
      <c r="E109" s="433" t="s">
        <v>15</v>
      </c>
      <c r="F109" s="433" t="s">
        <v>1590</v>
      </c>
    </row>
    <row r="110" spans="2:6">
      <c r="B110" s="433" t="s">
        <v>1543</v>
      </c>
      <c r="C110" s="436" t="s">
        <v>79</v>
      </c>
      <c r="D110" s="434" t="s">
        <v>1591</v>
      </c>
      <c r="E110" s="433" t="s">
        <v>5</v>
      </c>
      <c r="F110" s="433" t="s">
        <v>1590</v>
      </c>
    </row>
    <row r="111" spans="2:6">
      <c r="B111" s="433" t="s">
        <v>1543</v>
      </c>
      <c r="C111" s="436" t="s">
        <v>78</v>
      </c>
      <c r="D111" s="434" t="s">
        <v>1591</v>
      </c>
      <c r="E111" s="433" t="s">
        <v>6</v>
      </c>
      <c r="F111" s="433" t="s">
        <v>1590</v>
      </c>
    </row>
    <row r="112" spans="2:6">
      <c r="B112" s="64"/>
      <c r="C112" s="64"/>
      <c r="D112" s="431"/>
      <c r="E112" s="2"/>
      <c r="F112" s="2"/>
    </row>
    <row r="113" spans="2:6">
      <c r="B113" s="433" t="s">
        <v>1596</v>
      </c>
      <c r="C113" s="433" t="s">
        <v>1597</v>
      </c>
      <c r="D113" s="434" t="s">
        <v>1598</v>
      </c>
      <c r="E113" s="433" t="s">
        <v>1599</v>
      </c>
      <c r="F113" s="2"/>
    </row>
    <row r="114" spans="2:6">
      <c r="B114" s="433" t="s">
        <v>1596</v>
      </c>
      <c r="C114" s="433" t="s">
        <v>1543</v>
      </c>
      <c r="D114" s="434">
        <v>1433</v>
      </c>
      <c r="E114" s="433" t="s">
        <v>1601</v>
      </c>
      <c r="F114" s="2"/>
    </row>
    <row r="115" spans="2:6">
      <c r="B115" s="433" t="s">
        <v>135</v>
      </c>
      <c r="C115" s="433" t="s">
        <v>1596</v>
      </c>
      <c r="D115" s="434" t="s">
        <v>1600</v>
      </c>
      <c r="E115" s="439" t="s">
        <v>1602</v>
      </c>
      <c r="F115" s="2"/>
    </row>
    <row r="116" spans="2:6">
      <c r="B116" s="433" t="s">
        <v>1588</v>
      </c>
      <c r="C116" s="433" t="s">
        <v>1596</v>
      </c>
      <c r="D116" s="434" t="s">
        <v>1600</v>
      </c>
      <c r="E116" s="433"/>
      <c r="F116" s="2"/>
    </row>
    <row r="117" spans="2:6">
      <c r="B117" s="369" t="s">
        <v>1552</v>
      </c>
      <c r="C117" s="369" t="s">
        <v>1551</v>
      </c>
      <c r="D117" s="431" t="s">
        <v>1553</v>
      </c>
      <c r="E117" s="2"/>
      <c r="F117" s="2"/>
    </row>
    <row r="118" spans="2:6">
      <c r="B118" s="2" t="s">
        <v>1606</v>
      </c>
      <c r="C118" s="2" t="s">
        <v>1605</v>
      </c>
      <c r="D118" s="49">
        <v>25</v>
      </c>
      <c r="E118" s="2" t="s">
        <v>1608</v>
      </c>
      <c r="F118" s="2"/>
    </row>
    <row r="119" spans="2:6">
      <c r="B119" s="64" t="s">
        <v>1607</v>
      </c>
      <c r="C119" s="2" t="s">
        <v>1605</v>
      </c>
      <c r="D119" s="49">
        <v>25</v>
      </c>
      <c r="E119" s="2" t="s">
        <v>1609</v>
      </c>
      <c r="F119" s="2"/>
    </row>
  </sheetData>
  <mergeCells count="2">
    <mergeCell ref="B3:F3"/>
    <mergeCell ref="B67:C6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6AB5-D4BA-4E2D-8404-C179284AB765}">
  <sheetPr codeName="Sheet2" filterMode="1">
    <tabColor rgb="FF00B050"/>
  </sheetPr>
  <dimension ref="A1:I370"/>
  <sheetViews>
    <sheetView zoomScale="115" zoomScaleNormal="115" workbookViewId="0">
      <pane ySplit="1" topLeftCell="A12" activePane="bottomLeft" state="frozen"/>
      <selection pane="bottomLeft" activeCell="C31" sqref="C31"/>
    </sheetView>
  </sheetViews>
  <sheetFormatPr defaultRowHeight="14.5"/>
  <cols>
    <col min="1" max="1" width="3.7265625" style="6" customWidth="1"/>
    <col min="2" max="2" width="44.81640625" customWidth="1"/>
    <col min="3" max="3" width="13.81640625" customWidth="1"/>
    <col min="4" max="5" width="9.54296875" style="1" customWidth="1"/>
    <col min="6" max="6" width="36.453125" customWidth="1"/>
    <col min="7" max="7" width="10.1796875" customWidth="1"/>
    <col min="8" max="8" width="13.81640625" customWidth="1"/>
    <col min="9" max="9" width="43.54296875" customWidth="1"/>
  </cols>
  <sheetData>
    <row r="1" spans="2:9" ht="18.5">
      <c r="B1" s="3" t="s">
        <v>1237</v>
      </c>
      <c r="C1" s="3" t="s">
        <v>21</v>
      </c>
      <c r="D1" s="3" t="s">
        <v>20</v>
      </c>
      <c r="E1" s="3" t="s">
        <v>169</v>
      </c>
      <c r="F1" s="3" t="s">
        <v>22</v>
      </c>
      <c r="G1" s="484"/>
      <c r="H1" s="3" t="s">
        <v>21</v>
      </c>
      <c r="I1" s="3" t="s">
        <v>22</v>
      </c>
    </row>
    <row r="2" spans="2:9" hidden="1">
      <c r="B2" s="279" t="s">
        <v>950</v>
      </c>
      <c r="C2" s="279" t="s">
        <v>181</v>
      </c>
      <c r="D2" s="274" t="s">
        <v>52</v>
      </c>
      <c r="E2" s="10" t="s">
        <v>209</v>
      </c>
      <c r="F2" s="83" t="s">
        <v>182</v>
      </c>
      <c r="G2" s="105"/>
      <c r="H2" s="64" t="s">
        <v>1443</v>
      </c>
      <c r="I2" s="2" t="s">
        <v>1444</v>
      </c>
    </row>
    <row r="3" spans="2:9" hidden="1">
      <c r="B3" s="83" t="s">
        <v>953</v>
      </c>
      <c r="C3" s="83" t="s">
        <v>952</v>
      </c>
      <c r="D3" s="281" t="s">
        <v>45</v>
      </c>
      <c r="E3" s="10" t="s">
        <v>209</v>
      </c>
      <c r="F3" s="83" t="s">
        <v>951</v>
      </c>
      <c r="G3" s="105"/>
      <c r="H3" s="486" t="s">
        <v>1554</v>
      </c>
      <c r="I3" s="433" t="s">
        <v>1555</v>
      </c>
    </row>
    <row r="4" spans="2:9" hidden="1">
      <c r="B4" s="2" t="s">
        <v>230</v>
      </c>
      <c r="C4" s="2" t="s">
        <v>227</v>
      </c>
      <c r="D4" s="10" t="s">
        <v>205</v>
      </c>
      <c r="E4" s="10" t="s">
        <v>209</v>
      </c>
      <c r="F4" s="2" t="s">
        <v>201</v>
      </c>
      <c r="H4" s="64" t="s">
        <v>1556</v>
      </c>
      <c r="I4" s="2" t="s">
        <v>1557</v>
      </c>
    </row>
    <row r="5" spans="2:9" hidden="1">
      <c r="B5" s="2" t="s">
        <v>229</v>
      </c>
      <c r="C5" s="2" t="s">
        <v>228</v>
      </c>
      <c r="D5" s="10" t="s">
        <v>205</v>
      </c>
      <c r="E5" s="10" t="s">
        <v>209</v>
      </c>
      <c r="F5" s="2" t="s">
        <v>201</v>
      </c>
      <c r="H5" s="64" t="s">
        <v>1302</v>
      </c>
      <c r="I5" s="2" t="s">
        <v>1285</v>
      </c>
    </row>
    <row r="6" spans="2:9" hidden="1">
      <c r="B6" s="2" t="s">
        <v>226</v>
      </c>
      <c r="C6" s="2" t="s">
        <v>222</v>
      </c>
      <c r="D6" s="10" t="s">
        <v>205</v>
      </c>
      <c r="E6" s="10" t="s">
        <v>209</v>
      </c>
      <c r="F6" s="2" t="s">
        <v>223</v>
      </c>
      <c r="H6" s="64" t="s">
        <v>1558</v>
      </c>
      <c r="I6" s="2" t="s">
        <v>1559</v>
      </c>
    </row>
    <row r="7" spans="2:9" hidden="1">
      <c r="B7" s="2" t="s">
        <v>233</v>
      </c>
      <c r="C7" s="2" t="s">
        <v>234</v>
      </c>
      <c r="D7" s="10" t="s">
        <v>45</v>
      </c>
      <c r="E7" s="10" t="s">
        <v>209</v>
      </c>
      <c r="F7" s="2">
        <v>135</v>
      </c>
      <c r="H7" s="64" t="s">
        <v>1560</v>
      </c>
      <c r="I7" s="2" t="s">
        <v>1561</v>
      </c>
    </row>
    <row r="8" spans="2:9" hidden="1">
      <c r="B8" s="2" t="s">
        <v>1445</v>
      </c>
      <c r="C8" s="2" t="s">
        <v>1064</v>
      </c>
      <c r="D8" s="10" t="s">
        <v>45</v>
      </c>
      <c r="E8" s="10" t="s">
        <v>209</v>
      </c>
      <c r="F8" s="2"/>
      <c r="H8" s="64" t="s">
        <v>1562</v>
      </c>
      <c r="I8" s="2" t="s">
        <v>1563</v>
      </c>
    </row>
    <row r="9" spans="2:9" hidden="1">
      <c r="B9" s="2" t="s">
        <v>1449</v>
      </c>
      <c r="C9" s="2" t="s">
        <v>1448</v>
      </c>
      <c r="D9" s="10" t="s">
        <v>45</v>
      </c>
      <c r="E9" s="10" t="s">
        <v>209</v>
      </c>
      <c r="F9" s="2"/>
      <c r="H9" s="64" t="s">
        <v>1564</v>
      </c>
      <c r="I9" s="2" t="s">
        <v>1565</v>
      </c>
    </row>
    <row r="10" spans="2:9" hidden="1">
      <c r="B10" s="2" t="s">
        <v>1447</v>
      </c>
      <c r="C10" s="2" t="s">
        <v>1446</v>
      </c>
      <c r="D10" s="10" t="s">
        <v>45</v>
      </c>
      <c r="E10" s="10" t="s">
        <v>209</v>
      </c>
      <c r="F10" s="2"/>
      <c r="H10" s="64" t="s">
        <v>1172</v>
      </c>
      <c r="I10" s="2" t="s">
        <v>1566</v>
      </c>
    </row>
    <row r="11" spans="2:9" hidden="1">
      <c r="B11" s="2"/>
      <c r="C11" s="270" t="s">
        <v>371</v>
      </c>
      <c r="D11" s="10"/>
      <c r="E11" s="10"/>
      <c r="F11" s="2"/>
      <c r="H11" s="64" t="s">
        <v>1567</v>
      </c>
      <c r="I11" s="2" t="s">
        <v>1568</v>
      </c>
    </row>
    <row r="12" spans="2:9">
      <c r="B12" s="2" t="s">
        <v>204</v>
      </c>
      <c r="C12" s="2" t="s">
        <v>218</v>
      </c>
      <c r="D12" s="10" t="s">
        <v>45</v>
      </c>
      <c r="E12" s="26" t="s">
        <v>215</v>
      </c>
      <c r="F12" s="2" t="s">
        <v>221</v>
      </c>
      <c r="H12" s="64" t="s">
        <v>1569</v>
      </c>
      <c r="I12" s="2" t="s">
        <v>1570</v>
      </c>
    </row>
    <row r="13" spans="2:9">
      <c r="B13" s="2" t="s">
        <v>220</v>
      </c>
      <c r="C13" s="2" t="s">
        <v>219</v>
      </c>
      <c r="D13" s="10" t="s">
        <v>45</v>
      </c>
      <c r="E13" s="26" t="s">
        <v>215</v>
      </c>
      <c r="F13" s="2" t="s">
        <v>224</v>
      </c>
      <c r="H13" s="64" t="s">
        <v>1571</v>
      </c>
      <c r="I13" s="2" t="s">
        <v>1572</v>
      </c>
    </row>
    <row r="14" spans="2:9" hidden="1">
      <c r="B14" s="2"/>
      <c r="C14" s="2" t="s">
        <v>946</v>
      </c>
      <c r="D14" s="26" t="s">
        <v>43</v>
      </c>
      <c r="E14" s="10" t="s">
        <v>139</v>
      </c>
      <c r="F14" s="2"/>
      <c r="H14" s="64" t="s">
        <v>1573</v>
      </c>
      <c r="I14" s="2" t="s">
        <v>1574</v>
      </c>
    </row>
    <row r="15" spans="2:9" hidden="1">
      <c r="B15" s="2"/>
      <c r="C15" s="2" t="s">
        <v>1750</v>
      </c>
      <c r="D15" s="10"/>
      <c r="E15" s="10"/>
      <c r="F15" s="122" t="s">
        <v>533</v>
      </c>
      <c r="H15" s="64" t="s">
        <v>1575</v>
      </c>
      <c r="I15" s="2" t="s">
        <v>1576</v>
      </c>
    </row>
    <row r="16" spans="2:9" hidden="1">
      <c r="B16" s="2" t="s">
        <v>611</v>
      </c>
      <c r="C16" s="2" t="s">
        <v>613</v>
      </c>
      <c r="D16" s="26" t="s">
        <v>43</v>
      </c>
      <c r="E16" s="10" t="s">
        <v>139</v>
      </c>
      <c r="F16" s="2" t="s">
        <v>1310</v>
      </c>
      <c r="H16" s="486" t="s">
        <v>1577</v>
      </c>
      <c r="I16" s="433" t="s">
        <v>1453</v>
      </c>
    </row>
    <row r="17" spans="1:9" hidden="1">
      <c r="B17" s="33" t="s">
        <v>164</v>
      </c>
      <c r="C17" s="33" t="s">
        <v>163</v>
      </c>
      <c r="D17" s="26" t="s">
        <v>43</v>
      </c>
      <c r="E17" s="10" t="s">
        <v>139</v>
      </c>
      <c r="F17" s="33" t="s">
        <v>165</v>
      </c>
      <c r="H17" s="64" t="s">
        <v>1578</v>
      </c>
      <c r="I17" s="2" t="s">
        <v>1579</v>
      </c>
    </row>
    <row r="18" spans="1:9" hidden="1">
      <c r="B18" s="33" t="s">
        <v>200</v>
      </c>
      <c r="C18" s="33" t="s">
        <v>202</v>
      </c>
      <c r="D18" s="26" t="s">
        <v>43</v>
      </c>
      <c r="E18" s="10" t="s">
        <v>139</v>
      </c>
      <c r="F18" s="2" t="s">
        <v>221</v>
      </c>
      <c r="H18" s="64" t="s">
        <v>1580</v>
      </c>
      <c r="I18" s="2" t="s">
        <v>1581</v>
      </c>
    </row>
    <row r="19" spans="1:9" hidden="1">
      <c r="B19" t="s">
        <v>217</v>
      </c>
      <c r="C19" s="33" t="s">
        <v>216</v>
      </c>
      <c r="D19" s="26" t="s">
        <v>43</v>
      </c>
      <c r="E19" s="10" t="s">
        <v>139</v>
      </c>
      <c r="F19" s="33" t="s">
        <v>225</v>
      </c>
      <c r="H19" s="64" t="s">
        <v>1582</v>
      </c>
      <c r="I19" s="2" t="s">
        <v>1583</v>
      </c>
    </row>
    <row r="20" spans="1:9" hidden="1">
      <c r="B20" s="33" t="s">
        <v>618</v>
      </c>
      <c r="C20" s="33" t="s">
        <v>617</v>
      </c>
      <c r="D20" s="26" t="s">
        <v>43</v>
      </c>
      <c r="E20" s="10" t="s">
        <v>139</v>
      </c>
      <c r="F20" s="33" t="s">
        <v>619</v>
      </c>
      <c r="H20" s="486" t="s">
        <v>1176</v>
      </c>
      <c r="I20" s="433" t="s">
        <v>1441</v>
      </c>
    </row>
    <row r="21" spans="1:9" hidden="1">
      <c r="B21" s="33" t="s">
        <v>620</v>
      </c>
      <c r="C21" s="33" t="s">
        <v>621</v>
      </c>
      <c r="D21" s="26" t="s">
        <v>43</v>
      </c>
      <c r="E21" s="10" t="s">
        <v>139</v>
      </c>
      <c r="F21" s="33"/>
      <c r="H21" s="64" t="s">
        <v>1479</v>
      </c>
      <c r="I21" s="2" t="s">
        <v>1584</v>
      </c>
    </row>
    <row r="22" spans="1:9">
      <c r="B22" s="33" t="s">
        <v>1739</v>
      </c>
      <c r="C22" s="33" t="s">
        <v>929</v>
      </c>
      <c r="D22" s="26" t="s">
        <v>52</v>
      </c>
      <c r="E22" s="26" t="s">
        <v>215</v>
      </c>
      <c r="F22" s="33"/>
      <c r="G22" s="485"/>
    </row>
    <row r="23" spans="1:9">
      <c r="B23" s="33" t="s">
        <v>1740</v>
      </c>
      <c r="C23" s="33" t="s">
        <v>930</v>
      </c>
      <c r="D23" s="26" t="s">
        <v>52</v>
      </c>
      <c r="E23" s="26" t="s">
        <v>215</v>
      </c>
      <c r="F23" s="33"/>
    </row>
    <row r="24" spans="1:9">
      <c r="B24" s="33" t="s">
        <v>1741</v>
      </c>
      <c r="C24" s="33" t="s">
        <v>931</v>
      </c>
      <c r="D24" s="26" t="s">
        <v>52</v>
      </c>
      <c r="E24" s="26" t="s">
        <v>215</v>
      </c>
      <c r="F24" s="33"/>
    </row>
    <row r="25" spans="1:9">
      <c r="A25" s="32"/>
      <c r="B25" s="33" t="s">
        <v>1742</v>
      </c>
      <c r="C25" s="33" t="s">
        <v>932</v>
      </c>
      <c r="D25" s="26" t="s">
        <v>52</v>
      </c>
      <c r="E25" s="26" t="s">
        <v>215</v>
      </c>
      <c r="F25" s="33"/>
      <c r="G25" s="200"/>
    </row>
    <row r="26" spans="1:9">
      <c r="A26" s="32"/>
      <c r="B26" s="33" t="s">
        <v>1743</v>
      </c>
      <c r="C26" s="33" t="s">
        <v>933</v>
      </c>
      <c r="D26" s="26" t="s">
        <v>52</v>
      </c>
      <c r="E26" s="26" t="s">
        <v>215</v>
      </c>
      <c r="F26" s="33"/>
    </row>
    <row r="27" spans="1:9">
      <c r="A27" s="32"/>
      <c r="B27" s="33" t="s">
        <v>1744</v>
      </c>
      <c r="C27" s="33" t="s">
        <v>934</v>
      </c>
      <c r="D27" s="26" t="s">
        <v>52</v>
      </c>
      <c r="E27" s="26" t="s">
        <v>215</v>
      </c>
      <c r="F27" s="33"/>
      <c r="G27" s="200"/>
      <c r="I27" t="s">
        <v>1783</v>
      </c>
    </row>
    <row r="28" spans="1:9">
      <c r="A28" s="32"/>
      <c r="B28" s="33" t="s">
        <v>1745</v>
      </c>
      <c r="C28" s="33" t="s">
        <v>935</v>
      </c>
      <c r="D28" s="26" t="s">
        <v>52</v>
      </c>
      <c r="E28" s="26" t="s">
        <v>215</v>
      </c>
      <c r="F28" s="33"/>
      <c r="G28" s="200"/>
      <c r="I28" t="s">
        <v>1784</v>
      </c>
    </row>
    <row r="29" spans="1:9">
      <c r="A29" s="32"/>
      <c r="B29" s="33" t="s">
        <v>1746</v>
      </c>
      <c r="C29" s="33" t="s">
        <v>936</v>
      </c>
      <c r="D29" s="26" t="s">
        <v>52</v>
      </c>
      <c r="E29" s="26" t="s">
        <v>215</v>
      </c>
      <c r="F29" s="33"/>
      <c r="G29" s="200"/>
    </row>
    <row r="30" spans="1:9">
      <c r="A30" s="32"/>
      <c r="B30" s="33" t="s">
        <v>1747</v>
      </c>
      <c r="C30" s="33" t="s">
        <v>937</v>
      </c>
      <c r="D30" s="26" t="s">
        <v>52</v>
      </c>
      <c r="E30" s="26" t="s">
        <v>215</v>
      </c>
      <c r="F30" s="33"/>
      <c r="G30" s="200"/>
    </row>
    <row r="31" spans="1:9">
      <c r="A31" s="32"/>
      <c r="B31" s="33" t="s">
        <v>1748</v>
      </c>
      <c r="C31" s="33" t="s">
        <v>938</v>
      </c>
      <c r="D31" s="26" t="s">
        <v>52</v>
      </c>
      <c r="E31" s="26" t="s">
        <v>215</v>
      </c>
      <c r="F31" s="33"/>
      <c r="G31" s="200"/>
    </row>
    <row r="32" spans="1:9">
      <c r="A32" s="32"/>
      <c r="B32" s="33" t="s">
        <v>1751</v>
      </c>
      <c r="C32" s="33" t="s">
        <v>939</v>
      </c>
      <c r="D32" s="26" t="s">
        <v>52</v>
      </c>
      <c r="E32" s="26" t="s">
        <v>215</v>
      </c>
      <c r="F32" s="33"/>
      <c r="G32" s="200"/>
    </row>
    <row r="33" spans="2:9">
      <c r="B33" s="33" t="s">
        <v>1752</v>
      </c>
      <c r="C33" s="33" t="s">
        <v>940</v>
      </c>
      <c r="D33" s="26" t="s">
        <v>52</v>
      </c>
      <c r="E33" s="26" t="s">
        <v>215</v>
      </c>
      <c r="F33" s="33"/>
      <c r="G33" s="200"/>
    </row>
    <row r="34" spans="2:9">
      <c r="B34" s="33" t="s">
        <v>1753</v>
      </c>
      <c r="C34" s="33" t="s">
        <v>941</v>
      </c>
      <c r="D34" s="26" t="s">
        <v>52</v>
      </c>
      <c r="E34" s="26" t="s">
        <v>215</v>
      </c>
      <c r="F34" s="33"/>
      <c r="G34" s="200"/>
    </row>
    <row r="35" spans="2:9">
      <c r="B35" s="33" t="s">
        <v>1754</v>
      </c>
      <c r="C35" s="33" t="s">
        <v>942</v>
      </c>
      <c r="D35" s="26" t="s">
        <v>52</v>
      </c>
      <c r="E35" s="26" t="s">
        <v>215</v>
      </c>
      <c r="F35" s="33"/>
      <c r="G35" s="200"/>
    </row>
    <row r="36" spans="2:9">
      <c r="B36" s="33" t="s">
        <v>923</v>
      </c>
      <c r="C36" s="33" t="s">
        <v>943</v>
      </c>
      <c r="D36" s="26" t="s">
        <v>52</v>
      </c>
      <c r="E36" s="26" t="s">
        <v>215</v>
      </c>
      <c r="F36" s="33"/>
      <c r="G36" s="200"/>
    </row>
    <row r="37" spans="2:9">
      <c r="B37" s="33" t="s">
        <v>924</v>
      </c>
      <c r="C37" s="33" t="s">
        <v>944</v>
      </c>
      <c r="D37" s="26" t="s">
        <v>52</v>
      </c>
      <c r="E37" s="26" t="s">
        <v>215</v>
      </c>
      <c r="F37" s="33"/>
      <c r="G37" s="200"/>
    </row>
    <row r="38" spans="2:9">
      <c r="B38" s="33" t="s">
        <v>925</v>
      </c>
      <c r="C38" s="33" t="s">
        <v>1786</v>
      </c>
      <c r="D38" s="26" t="s">
        <v>52</v>
      </c>
      <c r="E38" s="26" t="s">
        <v>215</v>
      </c>
      <c r="F38" s="33"/>
      <c r="G38" s="200"/>
      <c r="H38" s="4" t="s">
        <v>776</v>
      </c>
      <c r="I38" s="2" t="s">
        <v>855</v>
      </c>
    </row>
    <row r="39" spans="2:9">
      <c r="B39" s="2" t="s">
        <v>926</v>
      </c>
      <c r="C39" s="2" t="s">
        <v>1787</v>
      </c>
      <c r="D39" s="26" t="s">
        <v>52</v>
      </c>
      <c r="E39" s="26" t="s">
        <v>215</v>
      </c>
      <c r="F39" s="2"/>
      <c r="G39" s="200"/>
      <c r="H39" s="4" t="s">
        <v>777</v>
      </c>
      <c r="I39" s="2" t="s">
        <v>854</v>
      </c>
    </row>
    <row r="40" spans="2:9">
      <c r="B40" s="2" t="s">
        <v>927</v>
      </c>
      <c r="C40" s="2" t="s">
        <v>1788</v>
      </c>
      <c r="D40" s="26" t="s">
        <v>52</v>
      </c>
      <c r="E40" s="26" t="s">
        <v>215</v>
      </c>
      <c r="F40" s="2"/>
      <c r="G40" s="200"/>
      <c r="H40" s="4" t="s">
        <v>778</v>
      </c>
      <c r="I40" s="2" t="s">
        <v>853</v>
      </c>
    </row>
    <row r="41" spans="2:9">
      <c r="B41" s="2" t="s">
        <v>928</v>
      </c>
      <c r="C41" s="2" t="s">
        <v>1789</v>
      </c>
      <c r="D41" s="26" t="s">
        <v>52</v>
      </c>
      <c r="E41" s="26" t="s">
        <v>215</v>
      </c>
      <c r="F41" s="2"/>
      <c r="G41" s="200"/>
      <c r="H41" s="4" t="s">
        <v>779</v>
      </c>
      <c r="I41" s="2" t="s">
        <v>852</v>
      </c>
    </row>
    <row r="42" spans="2:9" hidden="1">
      <c r="B42" s="2" t="s">
        <v>149</v>
      </c>
      <c r="C42" s="2" t="s">
        <v>146</v>
      </c>
      <c r="D42" s="10"/>
      <c r="E42" s="10" t="s">
        <v>209</v>
      </c>
      <c r="F42" s="2"/>
      <c r="G42" s="200"/>
      <c r="H42" s="4" t="s">
        <v>780</v>
      </c>
      <c r="I42" s="2"/>
    </row>
    <row r="43" spans="2:9" hidden="1">
      <c r="B43" s="2" t="s">
        <v>150</v>
      </c>
      <c r="C43" s="2" t="s">
        <v>147</v>
      </c>
      <c r="D43" s="10"/>
      <c r="E43" s="10" t="s">
        <v>209</v>
      </c>
      <c r="F43" s="2"/>
      <c r="G43" s="200"/>
      <c r="H43" s="4" t="s">
        <v>781</v>
      </c>
      <c r="I43" s="2" t="s">
        <v>851</v>
      </c>
    </row>
    <row r="44" spans="2:9" hidden="1">
      <c r="B44" s="2" t="s">
        <v>151</v>
      </c>
      <c r="C44" s="2" t="s">
        <v>148</v>
      </c>
      <c r="D44" s="10"/>
      <c r="E44" s="10" t="s">
        <v>209</v>
      </c>
      <c r="F44" s="2"/>
      <c r="G44" s="200"/>
      <c r="H44" s="4" t="s">
        <v>782</v>
      </c>
      <c r="I44" s="2"/>
    </row>
    <row r="45" spans="2:9" hidden="1">
      <c r="B45" s="2" t="s">
        <v>590</v>
      </c>
      <c r="C45" s="2" t="s">
        <v>589</v>
      </c>
      <c r="D45" s="10" t="s">
        <v>45</v>
      </c>
      <c r="E45" s="10" t="s">
        <v>209</v>
      </c>
      <c r="F45" s="2" t="s">
        <v>591</v>
      </c>
      <c r="G45" s="200"/>
      <c r="H45" s="4" t="s">
        <v>783</v>
      </c>
      <c r="I45" s="2"/>
    </row>
    <row r="46" spans="2:9" hidden="1">
      <c r="B46" s="4" t="s">
        <v>1411</v>
      </c>
      <c r="C46" s="2" t="s">
        <v>1410</v>
      </c>
      <c r="D46" s="10" t="s">
        <v>177</v>
      </c>
      <c r="E46" s="10" t="s">
        <v>214</v>
      </c>
      <c r="F46" s="2"/>
      <c r="G46" s="200"/>
      <c r="H46" s="4" t="s">
        <v>784</v>
      </c>
      <c r="I46" s="2"/>
    </row>
    <row r="47" spans="2:9" hidden="1">
      <c r="B47" s="2" t="s">
        <v>1179</v>
      </c>
      <c r="C47" s="2" t="s">
        <v>1178</v>
      </c>
      <c r="D47" s="10" t="s">
        <v>177</v>
      </c>
      <c r="E47" s="10" t="s">
        <v>214</v>
      </c>
      <c r="F47" s="2" t="s">
        <v>330</v>
      </c>
      <c r="G47" s="200"/>
      <c r="H47" s="4" t="s">
        <v>785</v>
      </c>
      <c r="I47" s="2"/>
    </row>
    <row r="48" spans="2:9" hidden="1">
      <c r="B48" s="2" t="s">
        <v>1224</v>
      </c>
      <c r="C48" s="2" t="s">
        <v>1225</v>
      </c>
      <c r="D48" s="10" t="s">
        <v>177</v>
      </c>
      <c r="E48" s="10" t="s">
        <v>214</v>
      </c>
      <c r="F48" s="2" t="s">
        <v>330</v>
      </c>
      <c r="G48" s="200"/>
      <c r="H48" s="4" t="s">
        <v>786</v>
      </c>
      <c r="I48" s="2"/>
    </row>
    <row r="49" spans="2:9" hidden="1">
      <c r="B49" s="2" t="s">
        <v>1181</v>
      </c>
      <c r="C49" s="2" t="s">
        <v>1180</v>
      </c>
      <c r="D49" s="10" t="s">
        <v>177</v>
      </c>
      <c r="E49" s="10" t="s">
        <v>214</v>
      </c>
      <c r="F49" s="2" t="s">
        <v>330</v>
      </c>
      <c r="H49" s="4" t="s">
        <v>787</v>
      </c>
      <c r="I49" s="2"/>
    </row>
    <row r="50" spans="2:9" hidden="1">
      <c r="B50" s="2" t="s">
        <v>1226</v>
      </c>
      <c r="C50" s="2" t="s">
        <v>1227</v>
      </c>
      <c r="D50" s="10" t="s">
        <v>177</v>
      </c>
      <c r="E50" s="10" t="s">
        <v>214</v>
      </c>
      <c r="F50" s="2" t="s">
        <v>330</v>
      </c>
      <c r="H50" s="4" t="s">
        <v>788</v>
      </c>
      <c r="I50" s="2"/>
    </row>
    <row r="51" spans="2:9" hidden="1">
      <c r="B51" s="2" t="s">
        <v>1183</v>
      </c>
      <c r="C51" s="2" t="s">
        <v>1182</v>
      </c>
      <c r="D51" s="10" t="s">
        <v>52</v>
      </c>
      <c r="E51" s="10" t="s">
        <v>209</v>
      </c>
      <c r="F51" s="2"/>
      <c r="H51" s="4" t="s">
        <v>789</v>
      </c>
      <c r="I51" s="2"/>
    </row>
    <row r="52" spans="2:9" hidden="1">
      <c r="B52" s="2" t="s">
        <v>1185</v>
      </c>
      <c r="C52" s="2" t="s">
        <v>1184</v>
      </c>
      <c r="D52" s="10" t="s">
        <v>52</v>
      </c>
      <c r="E52" s="10" t="s">
        <v>209</v>
      </c>
      <c r="F52" s="2"/>
      <c r="H52" s="4" t="s">
        <v>790</v>
      </c>
      <c r="I52" s="2"/>
    </row>
    <row r="53" spans="2:9" hidden="1">
      <c r="B53" s="2" t="s">
        <v>1187</v>
      </c>
      <c r="C53" s="2" t="s">
        <v>1186</v>
      </c>
      <c r="D53" s="10" t="s">
        <v>52</v>
      </c>
      <c r="E53" s="10" t="s">
        <v>209</v>
      </c>
      <c r="F53" s="2"/>
      <c r="H53" s="4" t="s">
        <v>791</v>
      </c>
      <c r="I53" s="2"/>
    </row>
    <row r="54" spans="2:9" hidden="1">
      <c r="B54" s="2" t="s">
        <v>1189</v>
      </c>
      <c r="C54" s="2" t="s">
        <v>1188</v>
      </c>
      <c r="D54" s="10" t="s">
        <v>52</v>
      </c>
      <c r="E54" s="10" t="s">
        <v>209</v>
      </c>
      <c r="F54" s="2"/>
      <c r="H54" s="4" t="s">
        <v>792</v>
      </c>
      <c r="I54" s="2"/>
    </row>
    <row r="55" spans="2:9" hidden="1">
      <c r="B55" s="2" t="s">
        <v>1191</v>
      </c>
      <c r="C55" s="2" t="s">
        <v>1190</v>
      </c>
      <c r="D55" s="10" t="s">
        <v>52</v>
      </c>
      <c r="E55" s="10" t="s">
        <v>209</v>
      </c>
      <c r="F55" s="2"/>
      <c r="H55" s="4" t="s">
        <v>793</v>
      </c>
      <c r="I55" s="2"/>
    </row>
    <row r="56" spans="2:9" hidden="1">
      <c r="B56" s="2" t="s">
        <v>1193</v>
      </c>
      <c r="C56" s="2" t="s">
        <v>1192</v>
      </c>
      <c r="D56" s="10" t="s">
        <v>52</v>
      </c>
      <c r="E56" s="10" t="s">
        <v>209</v>
      </c>
      <c r="F56" s="2" t="s">
        <v>1228</v>
      </c>
      <c r="H56" s="4" t="s">
        <v>794</v>
      </c>
      <c r="I56" s="2"/>
    </row>
    <row r="57" spans="2:9" hidden="1">
      <c r="B57" s="2" t="s">
        <v>1455</v>
      </c>
      <c r="C57" s="2" t="s">
        <v>1456</v>
      </c>
      <c r="D57" s="10" t="s">
        <v>52</v>
      </c>
      <c r="E57" s="10" t="s">
        <v>209</v>
      </c>
      <c r="F57" s="2" t="s">
        <v>1457</v>
      </c>
      <c r="H57" s="4" t="s">
        <v>795</v>
      </c>
      <c r="I57" s="2"/>
    </row>
    <row r="58" spans="2:9" hidden="1">
      <c r="B58" s="2" t="s">
        <v>1195</v>
      </c>
      <c r="C58" s="2" t="s">
        <v>1194</v>
      </c>
      <c r="D58" s="10" t="s">
        <v>52</v>
      </c>
      <c r="E58" s="10" t="s">
        <v>209</v>
      </c>
      <c r="F58" s="2"/>
      <c r="H58" s="4" t="s">
        <v>796</v>
      </c>
      <c r="I58" s="33" t="s">
        <v>850</v>
      </c>
    </row>
    <row r="59" spans="2:9" hidden="1">
      <c r="B59" s="2" t="s">
        <v>1197</v>
      </c>
      <c r="C59" s="2" t="s">
        <v>1196</v>
      </c>
      <c r="D59" s="10" t="s">
        <v>52</v>
      </c>
      <c r="E59" s="10" t="s">
        <v>209</v>
      </c>
      <c r="F59" s="2"/>
      <c r="H59" s="4" t="s">
        <v>797</v>
      </c>
      <c r="I59" t="s">
        <v>849</v>
      </c>
    </row>
    <row r="60" spans="2:9" hidden="1">
      <c r="B60" s="2" t="s">
        <v>1199</v>
      </c>
      <c r="C60" s="2" t="s">
        <v>1198</v>
      </c>
      <c r="D60" s="10" t="s">
        <v>52</v>
      </c>
      <c r="E60" s="10" t="s">
        <v>209</v>
      </c>
      <c r="F60" s="2"/>
      <c r="H60" s="4" t="s">
        <v>798</v>
      </c>
      <c r="I60" s="33"/>
    </row>
    <row r="61" spans="2:9" hidden="1">
      <c r="B61" s="2" t="s">
        <v>1201</v>
      </c>
      <c r="C61" s="2" t="s">
        <v>1200</v>
      </c>
      <c r="D61" s="10" t="s">
        <v>52</v>
      </c>
      <c r="E61" s="10" t="s">
        <v>209</v>
      </c>
      <c r="F61" s="2"/>
      <c r="H61" s="4" t="s">
        <v>799</v>
      </c>
      <c r="I61" s="33"/>
    </row>
    <row r="62" spans="2:9" hidden="1">
      <c r="B62" s="2" t="s">
        <v>1203</v>
      </c>
      <c r="C62" s="2" t="s">
        <v>1202</v>
      </c>
      <c r="D62" s="10" t="s">
        <v>52</v>
      </c>
      <c r="E62" s="10" t="s">
        <v>209</v>
      </c>
      <c r="F62" s="2"/>
      <c r="H62" s="4" t="s">
        <v>800</v>
      </c>
      <c r="I62" s="33"/>
    </row>
    <row r="63" spans="2:9" hidden="1">
      <c r="B63" s="2" t="s">
        <v>1205</v>
      </c>
      <c r="C63" s="2" t="s">
        <v>1204</v>
      </c>
      <c r="D63" s="10" t="s">
        <v>52</v>
      </c>
      <c r="E63" s="10" t="s">
        <v>209</v>
      </c>
      <c r="F63" s="2"/>
      <c r="H63" s="4" t="s">
        <v>801</v>
      </c>
      <c r="I63" s="33"/>
    </row>
    <row r="64" spans="2:9" hidden="1">
      <c r="B64" s="2" t="s">
        <v>1207</v>
      </c>
      <c r="C64" s="2" t="s">
        <v>1206</v>
      </c>
      <c r="D64" s="10" t="s">
        <v>52</v>
      </c>
      <c r="E64" s="10" t="s">
        <v>209</v>
      </c>
      <c r="F64" s="2"/>
      <c r="H64" s="4" t="s">
        <v>802</v>
      </c>
      <c r="I64" s="33"/>
    </row>
    <row r="65" spans="2:9" hidden="1">
      <c r="B65" s="2" t="s">
        <v>1209</v>
      </c>
      <c r="C65" s="2" t="s">
        <v>1208</v>
      </c>
      <c r="D65" s="10" t="s">
        <v>52</v>
      </c>
      <c r="E65" s="10" t="s">
        <v>209</v>
      </c>
      <c r="F65" s="2"/>
      <c r="H65" s="4" t="s">
        <v>803</v>
      </c>
      <c r="I65" s="33"/>
    </row>
    <row r="66" spans="2:9" hidden="1">
      <c r="B66" s="2" t="s">
        <v>1211</v>
      </c>
      <c r="C66" s="2" t="s">
        <v>1210</v>
      </c>
      <c r="D66" s="10" t="s">
        <v>52</v>
      </c>
      <c r="E66" s="10" t="s">
        <v>209</v>
      </c>
      <c r="F66" s="2">
        <v>135</v>
      </c>
      <c r="H66" s="4" t="s">
        <v>804</v>
      </c>
      <c r="I66" s="2" t="s">
        <v>848</v>
      </c>
    </row>
    <row r="67" spans="2:9" hidden="1">
      <c r="B67" s="2" t="s">
        <v>1213</v>
      </c>
      <c r="C67" s="2" t="s">
        <v>1212</v>
      </c>
      <c r="D67" s="10" t="s">
        <v>52</v>
      </c>
      <c r="E67" s="10" t="s">
        <v>209</v>
      </c>
      <c r="F67" s="2"/>
      <c r="H67" s="4" t="s">
        <v>805</v>
      </c>
      <c r="I67" s="2"/>
    </row>
    <row r="68" spans="2:9" hidden="1">
      <c r="B68" s="2" t="s">
        <v>1215</v>
      </c>
      <c r="C68" s="2" t="s">
        <v>1214</v>
      </c>
      <c r="D68" s="10" t="s">
        <v>52</v>
      </c>
      <c r="E68" s="10" t="s">
        <v>209</v>
      </c>
      <c r="F68" s="2"/>
      <c r="H68" s="4" t="s">
        <v>806</v>
      </c>
      <c r="I68" s="2"/>
    </row>
    <row r="69" spans="2:9" hidden="1">
      <c r="B69" s="2" t="s">
        <v>1217</v>
      </c>
      <c r="C69" s="2" t="s">
        <v>1216</v>
      </c>
      <c r="D69" s="10" t="s">
        <v>52</v>
      </c>
      <c r="E69" s="10" t="s">
        <v>209</v>
      </c>
      <c r="F69" s="2"/>
      <c r="H69" s="4" t="s">
        <v>807</v>
      </c>
      <c r="I69" s="2" t="s">
        <v>847</v>
      </c>
    </row>
    <row r="70" spans="2:9" hidden="1">
      <c r="B70" s="2" t="s">
        <v>1219</v>
      </c>
      <c r="C70" s="2" t="s">
        <v>1218</v>
      </c>
      <c r="D70" s="10" t="s">
        <v>52</v>
      </c>
      <c r="E70" s="10" t="s">
        <v>209</v>
      </c>
      <c r="F70" s="2"/>
      <c r="H70" s="4" t="s">
        <v>808</v>
      </c>
      <c r="I70" s="2" t="s">
        <v>846</v>
      </c>
    </row>
    <row r="71" spans="2:9" hidden="1">
      <c r="B71" s="2" t="s">
        <v>1221</v>
      </c>
      <c r="C71" s="2" t="s">
        <v>1220</v>
      </c>
      <c r="D71" s="10" t="s">
        <v>52</v>
      </c>
      <c r="E71" s="10" t="s">
        <v>209</v>
      </c>
      <c r="F71" s="2"/>
      <c r="H71" s="4" t="s">
        <v>809</v>
      </c>
      <c r="I71" s="2"/>
    </row>
    <row r="72" spans="2:9" hidden="1">
      <c r="B72" s="2" t="s">
        <v>1223</v>
      </c>
      <c r="C72" s="2" t="s">
        <v>1222</v>
      </c>
      <c r="D72" s="10" t="s">
        <v>52</v>
      </c>
      <c r="E72" s="10" t="s">
        <v>209</v>
      </c>
      <c r="F72" s="2"/>
      <c r="H72" s="4" t="s">
        <v>810</v>
      </c>
      <c r="I72" s="2"/>
    </row>
    <row r="73" spans="2:9" hidden="1">
      <c r="B73" s="2" t="s">
        <v>1451</v>
      </c>
      <c r="C73" s="2" t="s">
        <v>181</v>
      </c>
      <c r="D73" s="10" t="s">
        <v>52</v>
      </c>
      <c r="E73" s="10" t="s">
        <v>209</v>
      </c>
      <c r="F73" s="2" t="s">
        <v>1450</v>
      </c>
      <c r="H73" s="4" t="s">
        <v>811</v>
      </c>
      <c r="I73" s="2"/>
    </row>
    <row r="74" spans="2:9" hidden="1">
      <c r="B74" s="2" t="s">
        <v>1459</v>
      </c>
      <c r="C74" s="2" t="s">
        <v>1458</v>
      </c>
      <c r="D74" s="10" t="s">
        <v>52</v>
      </c>
      <c r="E74" s="10" t="s">
        <v>209</v>
      </c>
      <c r="F74" s="2" t="s">
        <v>1462</v>
      </c>
      <c r="H74" s="4" t="s">
        <v>812</v>
      </c>
      <c r="I74" s="2"/>
    </row>
    <row r="75" spans="2:9" hidden="1">
      <c r="B75" s="2" t="s">
        <v>1461</v>
      </c>
      <c r="C75" s="2" t="s">
        <v>1460</v>
      </c>
      <c r="D75" s="10" t="s">
        <v>52</v>
      </c>
      <c r="E75" s="10" t="s">
        <v>209</v>
      </c>
      <c r="F75" s="2" t="s">
        <v>1463</v>
      </c>
      <c r="H75" s="4" t="s">
        <v>813</v>
      </c>
      <c r="I75" s="2" t="s">
        <v>845</v>
      </c>
    </row>
    <row r="76" spans="2:9" hidden="1">
      <c r="B76" s="2" t="s">
        <v>1453</v>
      </c>
      <c r="C76" s="2" t="s">
        <v>1472</v>
      </c>
      <c r="D76" s="10" t="s">
        <v>52</v>
      </c>
      <c r="E76" s="10" t="s">
        <v>209</v>
      </c>
      <c r="F76" s="2"/>
      <c r="H76" s="4" t="s">
        <v>814</v>
      </c>
      <c r="I76" s="2"/>
    </row>
    <row r="77" spans="2:9" hidden="1">
      <c r="B77" s="2" t="s">
        <v>1453</v>
      </c>
      <c r="C77" s="2" t="s">
        <v>1452</v>
      </c>
      <c r="D77" s="10" t="s">
        <v>52</v>
      </c>
      <c r="E77" s="10" t="s">
        <v>209</v>
      </c>
      <c r="F77" s="2" t="s">
        <v>1454</v>
      </c>
      <c r="H77" s="4" t="s">
        <v>815</v>
      </c>
      <c r="I77" s="2" t="s">
        <v>844</v>
      </c>
    </row>
    <row r="78" spans="2:9" hidden="1">
      <c r="B78" s="2" t="s">
        <v>1453</v>
      </c>
      <c r="C78" s="2" t="s">
        <v>1473</v>
      </c>
      <c r="D78" s="10" t="s">
        <v>52</v>
      </c>
      <c r="E78" s="10" t="s">
        <v>209</v>
      </c>
      <c r="F78" s="2"/>
      <c r="H78" s="4" t="s">
        <v>816</v>
      </c>
      <c r="I78" s="2"/>
    </row>
    <row r="79" spans="2:9" hidden="1">
      <c r="B79" s="2"/>
      <c r="C79" s="2" t="s">
        <v>1464</v>
      </c>
      <c r="D79" s="10" t="s">
        <v>52</v>
      </c>
      <c r="E79" s="10" t="s">
        <v>209</v>
      </c>
      <c r="F79" s="409">
        <v>135389</v>
      </c>
      <c r="H79" s="4" t="s">
        <v>817</v>
      </c>
      <c r="I79" s="2" t="s">
        <v>843</v>
      </c>
    </row>
    <row r="80" spans="2:9" hidden="1">
      <c r="B80" s="2"/>
      <c r="C80" s="2" t="s">
        <v>1465</v>
      </c>
      <c r="D80" s="10" t="s">
        <v>52</v>
      </c>
      <c r="E80" s="10" t="s">
        <v>209</v>
      </c>
      <c r="F80" s="409" t="s">
        <v>1466</v>
      </c>
      <c r="H80" s="4" t="s">
        <v>818</v>
      </c>
      <c r="I80" s="2" t="s">
        <v>842</v>
      </c>
    </row>
    <row r="81" spans="2:9" hidden="1">
      <c r="B81" s="2" t="s">
        <v>1468</v>
      </c>
      <c r="C81" s="2" t="s">
        <v>1467</v>
      </c>
      <c r="D81" s="10" t="s">
        <v>52</v>
      </c>
      <c r="E81" s="10" t="s">
        <v>209</v>
      </c>
      <c r="F81" s="409" t="s">
        <v>1471</v>
      </c>
      <c r="H81" s="4" t="s">
        <v>819</v>
      </c>
      <c r="I81" s="2"/>
    </row>
    <row r="82" spans="2:9" hidden="1">
      <c r="B82" s="2" t="s">
        <v>1470</v>
      </c>
      <c r="C82" s="2" t="s">
        <v>1469</v>
      </c>
      <c r="D82" s="10" t="s">
        <v>52</v>
      </c>
      <c r="E82" s="10" t="s">
        <v>209</v>
      </c>
      <c r="F82" s="409"/>
      <c r="H82" s="4" t="s">
        <v>820</v>
      </c>
      <c r="I82" s="2"/>
    </row>
    <row r="83" spans="2:9" hidden="1">
      <c r="B83" s="2" t="s">
        <v>1230</v>
      </c>
      <c r="C83" s="2" t="s">
        <v>1229</v>
      </c>
      <c r="D83" s="10" t="s">
        <v>1749</v>
      </c>
      <c r="E83" s="10" t="s">
        <v>1749</v>
      </c>
      <c r="F83" s="2"/>
      <c r="H83" s="4" t="s">
        <v>821</v>
      </c>
      <c r="I83" s="2"/>
    </row>
    <row r="84" spans="2:9" hidden="1">
      <c r="B84" s="2" t="s">
        <v>1232</v>
      </c>
      <c r="C84" s="2" t="s">
        <v>1231</v>
      </c>
      <c r="D84" s="10" t="s">
        <v>1749</v>
      </c>
      <c r="E84" s="10" t="s">
        <v>1749</v>
      </c>
      <c r="F84" s="2"/>
      <c r="H84" s="4" t="s">
        <v>822</v>
      </c>
      <c r="I84" s="2"/>
    </row>
    <row r="85" spans="2:9" hidden="1">
      <c r="B85" s="2" t="s">
        <v>1233</v>
      </c>
      <c r="C85" s="2" t="s">
        <v>1229</v>
      </c>
      <c r="D85" s="10" t="s">
        <v>1749</v>
      </c>
      <c r="E85" s="10" t="s">
        <v>1749</v>
      </c>
      <c r="F85" s="2"/>
      <c r="H85" s="4" t="s">
        <v>823</v>
      </c>
      <c r="I85" s="2"/>
    </row>
    <row r="86" spans="2:9" hidden="1">
      <c r="B86" s="2" t="s">
        <v>1234</v>
      </c>
      <c r="C86" s="2" t="s">
        <v>1229</v>
      </c>
      <c r="D86" s="10" t="s">
        <v>1749</v>
      </c>
      <c r="E86" s="10" t="s">
        <v>1749</v>
      </c>
      <c r="F86" s="2"/>
      <c r="H86" s="4" t="s">
        <v>824</v>
      </c>
      <c r="I86" s="2" t="s">
        <v>841</v>
      </c>
    </row>
    <row r="87" spans="2:9" hidden="1">
      <c r="B87" s="2" t="s">
        <v>1235</v>
      </c>
      <c r="C87" s="2" t="s">
        <v>1229</v>
      </c>
      <c r="D87" s="10" t="s">
        <v>1749</v>
      </c>
      <c r="E87" s="10" t="s">
        <v>1749</v>
      </c>
      <c r="F87" s="2"/>
      <c r="H87" s="4" t="s">
        <v>825</v>
      </c>
      <c r="I87" s="2"/>
    </row>
    <row r="88" spans="2:9" hidden="1">
      <c r="B88" s="2" t="s">
        <v>1236</v>
      </c>
      <c r="C88" s="2" t="s">
        <v>1229</v>
      </c>
      <c r="D88" s="10" t="s">
        <v>1749</v>
      </c>
      <c r="E88" s="10" t="s">
        <v>1749</v>
      </c>
      <c r="F88" s="2"/>
      <c r="H88" s="4" t="s">
        <v>826</v>
      </c>
      <c r="I88" s="2"/>
    </row>
    <row r="89" spans="2:9" hidden="1">
      <c r="B89" s="2" t="s">
        <v>1238</v>
      </c>
      <c r="C89" s="2" t="s">
        <v>1257</v>
      </c>
      <c r="D89" s="10" t="s">
        <v>45</v>
      </c>
      <c r="E89" s="10" t="s">
        <v>209</v>
      </c>
      <c r="F89" s="2"/>
      <c r="H89" s="4" t="s">
        <v>827</v>
      </c>
      <c r="I89" s="2"/>
    </row>
    <row r="90" spans="2:9" hidden="1">
      <c r="B90" s="2" t="s">
        <v>1239</v>
      </c>
      <c r="C90" s="2" t="s">
        <v>1258</v>
      </c>
      <c r="D90" s="10" t="s">
        <v>45</v>
      </c>
      <c r="E90" s="10" t="s">
        <v>209</v>
      </c>
      <c r="F90" s="2"/>
      <c r="H90" s="4" t="s">
        <v>828</v>
      </c>
      <c r="I90" s="2" t="s">
        <v>840</v>
      </c>
    </row>
    <row r="91" spans="2:9" hidden="1">
      <c r="B91" s="2" t="s">
        <v>1240</v>
      </c>
      <c r="C91" s="2" t="s">
        <v>1259</v>
      </c>
      <c r="D91" s="10" t="s">
        <v>45</v>
      </c>
      <c r="E91" s="10" t="s">
        <v>209</v>
      </c>
      <c r="F91" s="2"/>
      <c r="H91" s="4" t="s">
        <v>829</v>
      </c>
      <c r="I91" s="2" t="s">
        <v>839</v>
      </c>
    </row>
    <row r="92" spans="2:9" hidden="1">
      <c r="B92" s="2" t="s">
        <v>1241</v>
      </c>
      <c r="C92" s="2" t="s">
        <v>1260</v>
      </c>
      <c r="D92" s="10" t="s">
        <v>45</v>
      </c>
      <c r="E92" s="10" t="s">
        <v>209</v>
      </c>
      <c r="F92" s="2"/>
      <c r="H92" s="4" t="s">
        <v>830</v>
      </c>
      <c r="I92" s="2"/>
    </row>
    <row r="93" spans="2:9" hidden="1">
      <c r="B93" s="2" t="s">
        <v>1242</v>
      </c>
      <c r="C93" s="2" t="s">
        <v>1261</v>
      </c>
      <c r="D93" s="10" t="s">
        <v>45</v>
      </c>
      <c r="E93" s="10" t="s">
        <v>209</v>
      </c>
      <c r="F93" s="2"/>
      <c r="H93" s="4" t="s">
        <v>831</v>
      </c>
      <c r="I93" s="2"/>
    </row>
    <row r="94" spans="2:9" hidden="1">
      <c r="B94" s="2" t="s">
        <v>1243</v>
      </c>
      <c r="C94" s="2" t="s">
        <v>1262</v>
      </c>
      <c r="D94" s="10" t="s">
        <v>45</v>
      </c>
      <c r="E94" s="10" t="s">
        <v>209</v>
      </c>
      <c r="F94" s="2"/>
      <c r="H94" s="4" t="s">
        <v>832</v>
      </c>
      <c r="I94" s="2"/>
    </row>
    <row r="95" spans="2:9" hidden="1">
      <c r="B95" s="2" t="s">
        <v>1244</v>
      </c>
      <c r="C95" s="2" t="s">
        <v>1263</v>
      </c>
      <c r="D95" s="10" t="s">
        <v>45</v>
      </c>
      <c r="E95" s="10" t="s">
        <v>209</v>
      </c>
      <c r="F95" s="2"/>
      <c r="H95" s="4" t="s">
        <v>833</v>
      </c>
      <c r="I95" s="2"/>
    </row>
    <row r="96" spans="2:9" hidden="1">
      <c r="B96" s="2" t="s">
        <v>1245</v>
      </c>
      <c r="C96" s="2" t="s">
        <v>1264</v>
      </c>
      <c r="D96" s="10" t="s">
        <v>45</v>
      </c>
      <c r="E96" s="10" t="s">
        <v>209</v>
      </c>
      <c r="F96" s="2"/>
      <c r="H96" s="4" t="s">
        <v>834</v>
      </c>
      <c r="I96" s="2"/>
    </row>
    <row r="97" spans="2:9" hidden="1">
      <c r="B97" s="2" t="s">
        <v>1246</v>
      </c>
      <c r="C97" s="2" t="s">
        <v>1265</v>
      </c>
      <c r="D97" s="10" t="s">
        <v>45</v>
      </c>
      <c r="E97" s="10" t="s">
        <v>209</v>
      </c>
      <c r="F97" s="2"/>
      <c r="H97" s="4" t="s">
        <v>835</v>
      </c>
      <c r="I97" s="2" t="s">
        <v>837</v>
      </c>
    </row>
    <row r="98" spans="2:9" hidden="1">
      <c r="B98" s="2" t="s">
        <v>1247</v>
      </c>
      <c r="C98" s="2" t="s">
        <v>1266</v>
      </c>
      <c r="D98" s="10" t="s">
        <v>45</v>
      </c>
      <c r="E98" s="10" t="s">
        <v>209</v>
      </c>
      <c r="F98" s="2"/>
      <c r="H98" s="4" t="s">
        <v>836</v>
      </c>
      <c r="I98" s="2" t="s">
        <v>838</v>
      </c>
    </row>
    <row r="99" spans="2:9" hidden="1">
      <c r="B99" s="2" t="s">
        <v>1248</v>
      </c>
      <c r="C99" s="2" t="s">
        <v>1267</v>
      </c>
      <c r="D99" s="10" t="s">
        <v>45</v>
      </c>
      <c r="E99" s="10" t="s">
        <v>209</v>
      </c>
      <c r="F99" s="2"/>
    </row>
    <row r="100" spans="2:9" hidden="1">
      <c r="B100" s="2" t="s">
        <v>1249</v>
      </c>
      <c r="C100" s="2" t="s">
        <v>1268</v>
      </c>
      <c r="D100" s="10" t="s">
        <v>45</v>
      </c>
      <c r="E100" s="10" t="s">
        <v>209</v>
      </c>
      <c r="F100" s="2"/>
    </row>
    <row r="101" spans="2:9" hidden="1">
      <c r="B101" s="2" t="s">
        <v>1250</v>
      </c>
      <c r="C101" s="2" t="s">
        <v>1269</v>
      </c>
      <c r="D101" s="10" t="s">
        <v>45</v>
      </c>
      <c r="E101" s="10" t="s">
        <v>209</v>
      </c>
      <c r="F101" s="2"/>
      <c r="G101" s="468"/>
    </row>
    <row r="102" spans="2:9" hidden="1">
      <c r="B102" s="2" t="s">
        <v>1251</v>
      </c>
      <c r="C102" s="2" t="s">
        <v>1270</v>
      </c>
      <c r="D102" s="10" t="s">
        <v>45</v>
      </c>
      <c r="E102" s="10" t="s">
        <v>209</v>
      </c>
      <c r="F102" s="2"/>
      <c r="G102" s="468"/>
    </row>
    <row r="103" spans="2:9" hidden="1">
      <c r="B103" s="2" t="s">
        <v>1252</v>
      </c>
      <c r="C103" s="2" t="s">
        <v>1271</v>
      </c>
      <c r="D103" s="10" t="s">
        <v>45</v>
      </c>
      <c r="E103" s="10" t="s">
        <v>209</v>
      </c>
      <c r="F103" s="2"/>
      <c r="G103" s="468"/>
    </row>
    <row r="104" spans="2:9" hidden="1">
      <c r="B104" s="2" t="s">
        <v>230</v>
      </c>
      <c r="C104" s="2" t="s">
        <v>227</v>
      </c>
      <c r="D104" s="10" t="s">
        <v>45</v>
      </c>
      <c r="E104" s="10" t="s">
        <v>209</v>
      </c>
      <c r="F104" s="2"/>
      <c r="G104" s="468"/>
    </row>
    <row r="105" spans="2:9" hidden="1">
      <c r="B105" s="2" t="s">
        <v>229</v>
      </c>
      <c r="C105" s="2" t="s">
        <v>228</v>
      </c>
      <c r="D105" s="10" t="s">
        <v>45</v>
      </c>
      <c r="E105" s="10" t="s">
        <v>209</v>
      </c>
      <c r="F105" s="2"/>
    </row>
    <row r="106" spans="2:9" hidden="1">
      <c r="B106" s="2" t="s">
        <v>1253</v>
      </c>
      <c r="C106" s="2" t="s">
        <v>1272</v>
      </c>
      <c r="D106" s="10" t="s">
        <v>45</v>
      </c>
      <c r="E106" s="10" t="s">
        <v>209</v>
      </c>
      <c r="F106" s="2"/>
    </row>
    <row r="107" spans="2:9" hidden="1">
      <c r="B107" s="2" t="s">
        <v>1254</v>
      </c>
      <c r="C107" s="2" t="s">
        <v>1273</v>
      </c>
      <c r="D107" s="10" t="s">
        <v>45</v>
      </c>
      <c r="E107" s="10" t="s">
        <v>209</v>
      </c>
      <c r="F107" s="2"/>
    </row>
    <row r="108" spans="2:9" hidden="1">
      <c r="B108" s="2" t="s">
        <v>1255</v>
      </c>
      <c r="C108" s="2" t="s">
        <v>1274</v>
      </c>
      <c r="D108" s="10" t="s">
        <v>45</v>
      </c>
      <c r="E108" s="10" t="s">
        <v>209</v>
      </c>
      <c r="F108" s="2"/>
    </row>
    <row r="109" spans="2:9" hidden="1">
      <c r="B109" s="2" t="s">
        <v>1256</v>
      </c>
      <c r="C109" s="2" t="s">
        <v>1275</v>
      </c>
      <c r="D109" s="10" t="s">
        <v>45</v>
      </c>
      <c r="E109" s="10" t="s">
        <v>209</v>
      </c>
      <c r="F109" s="2"/>
    </row>
    <row r="110" spans="2:9" hidden="1">
      <c r="B110" s="2" t="s">
        <v>1276</v>
      </c>
      <c r="C110" s="2" t="s">
        <v>1293</v>
      </c>
      <c r="D110" s="10" t="s">
        <v>45</v>
      </c>
      <c r="E110" s="10" t="s">
        <v>209</v>
      </c>
      <c r="F110" s="2"/>
    </row>
    <row r="111" spans="2:9" hidden="1">
      <c r="B111" s="2" t="s">
        <v>1277</v>
      </c>
      <c r="C111" s="2" t="s">
        <v>1294</v>
      </c>
      <c r="D111" s="10" t="s">
        <v>45</v>
      </c>
      <c r="E111" s="10" t="s">
        <v>209</v>
      </c>
      <c r="F111" s="2"/>
    </row>
    <row r="112" spans="2:9" hidden="1">
      <c r="B112" s="2" t="s">
        <v>1278</v>
      </c>
      <c r="C112" s="2" t="s">
        <v>1295</v>
      </c>
      <c r="D112" s="10" t="s">
        <v>45</v>
      </c>
      <c r="E112" s="10" t="s">
        <v>209</v>
      </c>
      <c r="F112" s="2"/>
    </row>
    <row r="113" spans="2:6" hidden="1">
      <c r="B113" s="2" t="s">
        <v>1279</v>
      </c>
      <c r="C113" s="2" t="s">
        <v>1296</v>
      </c>
      <c r="D113" s="10" t="s">
        <v>45</v>
      </c>
      <c r="E113" s="10" t="s">
        <v>209</v>
      </c>
      <c r="F113" s="2"/>
    </row>
    <row r="114" spans="2:6" hidden="1">
      <c r="B114" s="2" t="s">
        <v>1280</v>
      </c>
      <c r="C114" s="2" t="s">
        <v>1297</v>
      </c>
      <c r="D114" s="10" t="s">
        <v>45</v>
      </c>
      <c r="E114" s="10" t="s">
        <v>209</v>
      </c>
      <c r="F114" s="2"/>
    </row>
    <row r="115" spans="2:6" hidden="1">
      <c r="B115" s="2" t="s">
        <v>1281</v>
      </c>
      <c r="C115" s="2" t="s">
        <v>1298</v>
      </c>
      <c r="D115" s="10" t="s">
        <v>45</v>
      </c>
      <c r="E115" s="10" t="s">
        <v>209</v>
      </c>
      <c r="F115" s="2"/>
    </row>
    <row r="116" spans="2:6" hidden="1">
      <c r="B116" s="2" t="s">
        <v>1282</v>
      </c>
      <c r="C116" s="2" t="s">
        <v>1299</v>
      </c>
      <c r="D116" s="10" t="s">
        <v>45</v>
      </c>
      <c r="E116" s="10" t="s">
        <v>209</v>
      </c>
      <c r="F116" s="2"/>
    </row>
    <row r="117" spans="2:6" hidden="1">
      <c r="B117" s="2" t="s">
        <v>1283</v>
      </c>
      <c r="C117" s="2" t="s">
        <v>1300</v>
      </c>
      <c r="D117" s="10" t="s">
        <v>45</v>
      </c>
      <c r="E117" s="10" t="s">
        <v>209</v>
      </c>
      <c r="F117" s="2"/>
    </row>
    <row r="118" spans="2:6" hidden="1">
      <c r="B118" s="2" t="s">
        <v>1284</v>
      </c>
      <c r="C118" s="2" t="s">
        <v>1301</v>
      </c>
      <c r="D118" s="10" t="s">
        <v>45</v>
      </c>
      <c r="E118" s="10" t="s">
        <v>209</v>
      </c>
      <c r="F118" s="2"/>
    </row>
    <row r="119" spans="2:6" hidden="1">
      <c r="B119" s="2" t="s">
        <v>1285</v>
      </c>
      <c r="C119" s="2" t="s">
        <v>1302</v>
      </c>
      <c r="D119" s="10" t="s">
        <v>45</v>
      </c>
      <c r="E119" s="10" t="s">
        <v>209</v>
      </c>
      <c r="F119" s="2"/>
    </row>
    <row r="120" spans="2:6" hidden="1">
      <c r="B120" s="2" t="s">
        <v>1286</v>
      </c>
      <c r="C120" s="2" t="s">
        <v>1303</v>
      </c>
      <c r="D120" s="10" t="s">
        <v>45</v>
      </c>
      <c r="E120" s="10" t="s">
        <v>209</v>
      </c>
      <c r="F120" s="2"/>
    </row>
    <row r="121" spans="2:6" hidden="1">
      <c r="B121" s="2" t="s">
        <v>1287</v>
      </c>
      <c r="C121" s="2" t="s">
        <v>1304</v>
      </c>
      <c r="D121" s="10" t="s">
        <v>45</v>
      </c>
      <c r="E121" s="10" t="s">
        <v>209</v>
      </c>
      <c r="F121" s="2"/>
    </row>
    <row r="122" spans="2:6" hidden="1">
      <c r="B122" s="2" t="s">
        <v>1288</v>
      </c>
      <c r="C122" s="2" t="s">
        <v>1305</v>
      </c>
      <c r="D122" s="10" t="s">
        <v>45</v>
      </c>
      <c r="E122" s="10" t="s">
        <v>209</v>
      </c>
      <c r="F122" s="2"/>
    </row>
    <row r="123" spans="2:6" hidden="1">
      <c r="B123" s="2" t="s">
        <v>1289</v>
      </c>
      <c r="C123" s="2" t="s">
        <v>1306</v>
      </c>
      <c r="D123" s="10" t="s">
        <v>45</v>
      </c>
      <c r="E123" s="10" t="s">
        <v>209</v>
      </c>
      <c r="F123" s="2"/>
    </row>
    <row r="124" spans="2:6" hidden="1">
      <c r="B124" s="2" t="s">
        <v>1290</v>
      </c>
      <c r="C124" s="2" t="s">
        <v>1307</v>
      </c>
      <c r="D124" s="10" t="s">
        <v>45</v>
      </c>
      <c r="E124" s="10" t="s">
        <v>209</v>
      </c>
      <c r="F124" s="2"/>
    </row>
    <row r="125" spans="2:6" hidden="1">
      <c r="B125" s="2" t="s">
        <v>1477</v>
      </c>
      <c r="C125" s="2" t="s">
        <v>1478</v>
      </c>
      <c r="D125" s="10" t="s">
        <v>45</v>
      </c>
      <c r="E125" s="10" t="s">
        <v>209</v>
      </c>
      <c r="F125" s="2"/>
    </row>
    <row r="126" spans="2:6" hidden="1">
      <c r="B126" s="2" t="s">
        <v>1291</v>
      </c>
      <c r="C126" s="2" t="s">
        <v>1308</v>
      </c>
      <c r="D126" s="10" t="s">
        <v>45</v>
      </c>
      <c r="E126" s="10" t="s">
        <v>209</v>
      </c>
      <c r="F126" s="2"/>
    </row>
    <row r="127" spans="2:6" hidden="1">
      <c r="B127" s="2" t="s">
        <v>1415</v>
      </c>
      <c r="C127" s="2" t="s">
        <v>1414</v>
      </c>
      <c r="D127" s="10" t="s">
        <v>45</v>
      </c>
      <c r="E127" s="10" t="s">
        <v>209</v>
      </c>
      <c r="F127" s="2"/>
    </row>
    <row r="128" spans="2:6" hidden="1">
      <c r="B128" s="2" t="s">
        <v>1417</v>
      </c>
      <c r="C128" s="2" t="s">
        <v>1416</v>
      </c>
      <c r="D128" s="10" t="s">
        <v>45</v>
      </c>
      <c r="E128" s="10" t="s">
        <v>209</v>
      </c>
      <c r="F128" s="2"/>
    </row>
    <row r="129" spans="2:6" hidden="1">
      <c r="B129" s="2" t="s">
        <v>1419</v>
      </c>
      <c r="C129" s="2" t="s">
        <v>1418</v>
      </c>
      <c r="D129" s="10" t="s">
        <v>45</v>
      </c>
      <c r="E129" s="10" t="s">
        <v>209</v>
      </c>
      <c r="F129" s="2"/>
    </row>
    <row r="130" spans="2:6" hidden="1">
      <c r="B130" s="2" t="s">
        <v>1422</v>
      </c>
      <c r="C130" s="2" t="s">
        <v>1421</v>
      </c>
      <c r="D130" s="10" t="s">
        <v>45</v>
      </c>
      <c r="E130" s="10" t="s">
        <v>209</v>
      </c>
      <c r="F130" s="2"/>
    </row>
    <row r="131" spans="2:6" hidden="1">
      <c r="B131" s="2" t="s">
        <v>1424</v>
      </c>
      <c r="C131" s="2" t="s">
        <v>1423</v>
      </c>
      <c r="D131" s="10" t="s">
        <v>45</v>
      </c>
      <c r="E131" s="10" t="s">
        <v>209</v>
      </c>
      <c r="F131" s="2"/>
    </row>
    <row r="132" spans="2:6" hidden="1">
      <c r="B132" s="2" t="s">
        <v>1426</v>
      </c>
      <c r="C132" s="2" t="s">
        <v>1425</v>
      </c>
      <c r="D132" s="10" t="s">
        <v>45</v>
      </c>
      <c r="E132" s="10" t="s">
        <v>209</v>
      </c>
      <c r="F132" s="2"/>
    </row>
    <row r="133" spans="2:6" hidden="1">
      <c r="B133" s="2" t="s">
        <v>1428</v>
      </c>
      <c r="C133" s="2" t="s">
        <v>1427</v>
      </c>
      <c r="D133" s="10" t="s">
        <v>45</v>
      </c>
      <c r="E133" s="10" t="s">
        <v>209</v>
      </c>
    </row>
    <row r="134" spans="2:6" hidden="1">
      <c r="B134" s="2" t="s">
        <v>1430</v>
      </c>
      <c r="C134" s="2" t="s">
        <v>1429</v>
      </c>
      <c r="D134" s="10" t="s">
        <v>45</v>
      </c>
      <c r="E134" s="10" t="s">
        <v>209</v>
      </c>
      <c r="F134" s="2"/>
    </row>
    <row r="135" spans="2:6" hidden="1">
      <c r="B135" s="2" t="s">
        <v>1432</v>
      </c>
      <c r="C135" s="2" t="s">
        <v>1431</v>
      </c>
      <c r="D135" s="10" t="s">
        <v>45</v>
      </c>
      <c r="E135" s="10" t="s">
        <v>209</v>
      </c>
      <c r="F135" s="2"/>
    </row>
    <row r="136" spans="2:6" hidden="1">
      <c r="B136" s="2" t="s">
        <v>1434</v>
      </c>
      <c r="C136" s="2" t="s">
        <v>1433</v>
      </c>
      <c r="D136" s="10" t="s">
        <v>45</v>
      </c>
      <c r="E136" s="10" t="s">
        <v>209</v>
      </c>
      <c r="F136" s="2"/>
    </row>
    <row r="137" spans="2:6" hidden="1">
      <c r="B137" s="2" t="s">
        <v>1442</v>
      </c>
      <c r="C137" s="2" t="s">
        <v>1309</v>
      </c>
      <c r="D137" s="10" t="s">
        <v>45</v>
      </c>
      <c r="E137" s="10" t="s">
        <v>209</v>
      </c>
      <c r="F137" s="2"/>
    </row>
    <row r="138" spans="2:6" hidden="1">
      <c r="B138" s="2" t="s">
        <v>1444</v>
      </c>
      <c r="C138" s="2" t="s">
        <v>1443</v>
      </c>
      <c r="D138" s="10" t="s">
        <v>45</v>
      </c>
      <c r="E138" s="10" t="s">
        <v>209</v>
      </c>
      <c r="F138" s="2"/>
    </row>
    <row r="139" spans="2:6" hidden="1">
      <c r="B139" s="8" t="s">
        <v>1292</v>
      </c>
      <c r="C139" t="s">
        <v>1309</v>
      </c>
      <c r="D139" s="10" t="s">
        <v>45</v>
      </c>
      <c r="E139" s="10" t="s">
        <v>209</v>
      </c>
      <c r="F139" s="2" t="s">
        <v>1476</v>
      </c>
    </row>
    <row r="140" spans="2:6" hidden="1">
      <c r="B140" s="2" t="s">
        <v>1420</v>
      </c>
      <c r="C140" s="2" t="s">
        <v>757</v>
      </c>
      <c r="D140" s="10" t="s">
        <v>45</v>
      </c>
      <c r="E140" s="10" t="s">
        <v>209</v>
      </c>
      <c r="F140" s="2"/>
    </row>
    <row r="141" spans="2:6" hidden="1">
      <c r="B141" s="2" t="s">
        <v>1311</v>
      </c>
      <c r="C141" s="2" t="s">
        <v>1316</v>
      </c>
      <c r="D141" s="10" t="s">
        <v>177</v>
      </c>
      <c r="E141" s="10" t="s">
        <v>214</v>
      </c>
      <c r="F141" s="2"/>
    </row>
    <row r="142" spans="2:6" hidden="1">
      <c r="B142" s="2" t="s">
        <v>1312</v>
      </c>
      <c r="C142" s="2" t="s">
        <v>1317</v>
      </c>
      <c r="D142" s="10" t="s">
        <v>177</v>
      </c>
      <c r="E142" s="10" t="s">
        <v>214</v>
      </c>
      <c r="F142" s="2"/>
    </row>
    <row r="143" spans="2:6" hidden="1">
      <c r="B143" s="2" t="s">
        <v>1313</v>
      </c>
      <c r="C143" s="2" t="s">
        <v>1318</v>
      </c>
      <c r="D143" s="10" t="s">
        <v>177</v>
      </c>
      <c r="E143" s="10" t="s">
        <v>214</v>
      </c>
      <c r="F143" s="2"/>
    </row>
    <row r="144" spans="2:6" hidden="1">
      <c r="B144" s="2" t="s">
        <v>1314</v>
      </c>
      <c r="C144" s="2" t="s">
        <v>1319</v>
      </c>
      <c r="D144" s="10" t="s">
        <v>177</v>
      </c>
      <c r="E144" s="10" t="s">
        <v>214</v>
      </c>
      <c r="F144" s="2"/>
    </row>
    <row r="145" spans="2:6" hidden="1">
      <c r="B145" s="2" t="s">
        <v>1315</v>
      </c>
      <c r="C145" s="2" t="s">
        <v>1320</v>
      </c>
      <c r="D145" s="10" t="s">
        <v>177</v>
      </c>
      <c r="E145" s="10" t="s">
        <v>214</v>
      </c>
      <c r="F145" s="2"/>
    </row>
    <row r="146" spans="2:6" hidden="1">
      <c r="B146" s="2" t="s">
        <v>1321</v>
      </c>
      <c r="C146" s="2" t="s">
        <v>1323</v>
      </c>
      <c r="D146" s="10" t="s">
        <v>177</v>
      </c>
      <c r="E146" s="10" t="s">
        <v>214</v>
      </c>
      <c r="F146" s="2"/>
    </row>
    <row r="147" spans="2:6" hidden="1">
      <c r="B147" s="2" t="s">
        <v>1322</v>
      </c>
      <c r="C147" s="2" t="s">
        <v>1324</v>
      </c>
      <c r="D147" s="10" t="s">
        <v>177</v>
      </c>
      <c r="E147" s="10" t="s">
        <v>214</v>
      </c>
      <c r="F147" s="2"/>
    </row>
    <row r="148" spans="2:6" hidden="1">
      <c r="B148" s="2" t="s">
        <v>1325</v>
      </c>
      <c r="C148" s="2" t="s">
        <v>1329</v>
      </c>
      <c r="D148" s="10" t="s">
        <v>177</v>
      </c>
      <c r="E148" s="10" t="s">
        <v>214</v>
      </c>
      <c r="F148" s="2"/>
    </row>
    <row r="149" spans="2:6" hidden="1">
      <c r="B149" s="2" t="s">
        <v>1326</v>
      </c>
      <c r="C149" s="2" t="s">
        <v>1330</v>
      </c>
      <c r="D149" s="10" t="s">
        <v>177</v>
      </c>
      <c r="E149" s="10" t="s">
        <v>214</v>
      </c>
      <c r="F149" s="2"/>
    </row>
    <row r="150" spans="2:6" hidden="1">
      <c r="B150" s="2" t="s">
        <v>1327</v>
      </c>
      <c r="C150" s="2" t="s">
        <v>1331</v>
      </c>
      <c r="D150" s="10" t="s">
        <v>177</v>
      </c>
      <c r="E150" s="10" t="s">
        <v>214</v>
      </c>
      <c r="F150" s="2"/>
    </row>
    <row r="151" spans="2:6" hidden="1">
      <c r="B151" s="2" t="s">
        <v>1328</v>
      </c>
      <c r="C151" s="2" t="s">
        <v>1332</v>
      </c>
      <c r="D151" s="10" t="s">
        <v>177</v>
      </c>
      <c r="E151" s="10" t="s">
        <v>214</v>
      </c>
      <c r="F151" s="2"/>
    </row>
    <row r="152" spans="2:6" hidden="1">
      <c r="B152" s="2" t="s">
        <v>1325</v>
      </c>
      <c r="C152" s="2" t="s">
        <v>1329</v>
      </c>
      <c r="D152" s="10" t="s">
        <v>177</v>
      </c>
      <c r="E152" s="10" t="s">
        <v>214</v>
      </c>
      <c r="F152" s="2"/>
    </row>
    <row r="153" spans="2:6" hidden="1">
      <c r="B153" s="2" t="s">
        <v>1333</v>
      </c>
      <c r="C153" s="2" t="s">
        <v>1336</v>
      </c>
      <c r="D153" s="10" t="s">
        <v>177</v>
      </c>
      <c r="E153" s="10" t="s">
        <v>214</v>
      </c>
      <c r="F153" s="2"/>
    </row>
    <row r="154" spans="2:6" hidden="1">
      <c r="B154" s="2" t="s">
        <v>1334</v>
      </c>
      <c r="C154" s="2" t="s">
        <v>1337</v>
      </c>
      <c r="D154" s="10" t="s">
        <v>177</v>
      </c>
      <c r="E154" s="10" t="s">
        <v>214</v>
      </c>
      <c r="F154" s="2"/>
    </row>
    <row r="155" spans="2:6" hidden="1">
      <c r="B155" s="2" t="s">
        <v>1335</v>
      </c>
      <c r="C155" s="2" t="s">
        <v>1338</v>
      </c>
      <c r="D155" s="10" t="s">
        <v>177</v>
      </c>
      <c r="E155" s="10" t="s">
        <v>214</v>
      </c>
      <c r="F155" s="2"/>
    </row>
    <row r="156" spans="2:6" hidden="1">
      <c r="B156" s="2" t="s">
        <v>1411</v>
      </c>
      <c r="C156" s="2" t="s">
        <v>1410</v>
      </c>
      <c r="D156" s="10" t="s">
        <v>177</v>
      </c>
      <c r="E156" s="10" t="s">
        <v>214</v>
      </c>
      <c r="F156" s="2" t="s">
        <v>1475</v>
      </c>
    </row>
    <row r="157" spans="2:6" hidden="1">
      <c r="B157" s="2" t="s">
        <v>1177</v>
      </c>
      <c r="C157" s="2" t="s">
        <v>1176</v>
      </c>
      <c r="D157" s="10" t="s">
        <v>355</v>
      </c>
      <c r="E157" s="10" t="s">
        <v>209</v>
      </c>
      <c r="F157" s="2"/>
    </row>
    <row r="158" spans="2:6" hidden="1">
      <c r="B158" s="2" t="s">
        <v>1437</v>
      </c>
      <c r="C158" s="2" t="s">
        <v>1404</v>
      </c>
      <c r="D158" s="10" t="s">
        <v>355</v>
      </c>
      <c r="E158" s="10" t="s">
        <v>209</v>
      </c>
      <c r="F158" s="2"/>
    </row>
    <row r="159" spans="2:6" hidden="1">
      <c r="B159" s="2" t="s">
        <v>1174</v>
      </c>
      <c r="C159" s="2" t="s">
        <v>1172</v>
      </c>
      <c r="D159" s="10" t="s">
        <v>45</v>
      </c>
      <c r="E159" s="10" t="s">
        <v>209</v>
      </c>
      <c r="F159" s="2"/>
    </row>
    <row r="160" spans="2:6" hidden="1">
      <c r="B160" s="2" t="s">
        <v>1175</v>
      </c>
      <c r="C160" s="2" t="s">
        <v>1172</v>
      </c>
      <c r="D160" s="10" t="s">
        <v>45</v>
      </c>
      <c r="E160" s="10" t="s">
        <v>209</v>
      </c>
      <c r="F160" s="2"/>
    </row>
    <row r="161" spans="2:6" hidden="1">
      <c r="B161" s="2" t="s">
        <v>1438</v>
      </c>
      <c r="C161" s="2" t="s">
        <v>1402</v>
      </c>
      <c r="D161" s="10" t="s">
        <v>355</v>
      </c>
      <c r="E161" s="10" t="s">
        <v>209</v>
      </c>
      <c r="F161" s="2"/>
    </row>
    <row r="162" spans="2:6" hidden="1">
      <c r="B162" s="2" t="s">
        <v>1405</v>
      </c>
      <c r="C162" s="2" t="s">
        <v>1404</v>
      </c>
      <c r="D162" s="10" t="s">
        <v>355</v>
      </c>
      <c r="E162" s="10" t="s">
        <v>209</v>
      </c>
      <c r="F162" s="2"/>
    </row>
    <row r="163" spans="2:6" hidden="1">
      <c r="B163" s="2" t="s">
        <v>1435</v>
      </c>
      <c r="C163" s="2" t="s">
        <v>1402</v>
      </c>
      <c r="D163" s="10" t="s">
        <v>355</v>
      </c>
      <c r="E163" s="10" t="s">
        <v>209</v>
      </c>
      <c r="F163" s="2"/>
    </row>
    <row r="164" spans="2:6" hidden="1">
      <c r="B164" s="2" t="s">
        <v>1436</v>
      </c>
      <c r="C164" s="2" t="s">
        <v>1403</v>
      </c>
      <c r="D164" s="10" t="s">
        <v>355</v>
      </c>
      <c r="E164" s="10" t="s">
        <v>209</v>
      </c>
      <c r="F164" s="2"/>
    </row>
    <row r="165" spans="2:6" hidden="1">
      <c r="B165" s="4" t="s">
        <v>1406</v>
      </c>
      <c r="C165" s="2" t="s">
        <v>1404</v>
      </c>
      <c r="D165" s="10" t="s">
        <v>355</v>
      </c>
      <c r="E165" s="10" t="s">
        <v>209</v>
      </c>
      <c r="F165" s="2"/>
    </row>
    <row r="166" spans="2:6" hidden="1">
      <c r="B166" s="4" t="s">
        <v>1407</v>
      </c>
      <c r="C166" s="2" t="s">
        <v>1403</v>
      </c>
      <c r="D166" s="10" t="s">
        <v>355</v>
      </c>
      <c r="E166" s="10" t="s">
        <v>209</v>
      </c>
      <c r="F166" s="2"/>
    </row>
    <row r="167" spans="2:6" hidden="1">
      <c r="B167" s="4" t="s">
        <v>1408</v>
      </c>
      <c r="C167" s="2" t="s">
        <v>1402</v>
      </c>
      <c r="D167" s="10" t="s">
        <v>355</v>
      </c>
      <c r="E167" s="10" t="s">
        <v>209</v>
      </c>
      <c r="F167" s="2"/>
    </row>
    <row r="168" spans="2:6" hidden="1">
      <c r="B168" s="4" t="s">
        <v>1173</v>
      </c>
      <c r="C168" s="2" t="s">
        <v>1172</v>
      </c>
      <c r="D168" s="10" t="s">
        <v>45</v>
      </c>
      <c r="E168" s="10" t="s">
        <v>209</v>
      </c>
      <c r="F168" s="2"/>
    </row>
    <row r="169" spans="2:6" hidden="1">
      <c r="B169" s="4" t="s">
        <v>1412</v>
      </c>
      <c r="C169" s="2" t="s">
        <v>1404</v>
      </c>
      <c r="D169" s="1" t="s">
        <v>355</v>
      </c>
      <c r="E169" s="10" t="s">
        <v>209</v>
      </c>
      <c r="F169" s="2"/>
    </row>
    <row r="170" spans="2:6" hidden="1">
      <c r="B170" s="4" t="s">
        <v>1413</v>
      </c>
      <c r="C170" s="2" t="s">
        <v>1403</v>
      </c>
      <c r="D170" s="1" t="s">
        <v>355</v>
      </c>
      <c r="E170" s="10" t="s">
        <v>209</v>
      </c>
      <c r="F170" s="2"/>
    </row>
    <row r="171" spans="2:6">
      <c r="B171" s="2" t="s">
        <v>1440</v>
      </c>
      <c r="C171" s="2" t="s">
        <v>1439</v>
      </c>
      <c r="D171" s="10" t="s">
        <v>355</v>
      </c>
      <c r="E171" s="10" t="s">
        <v>215</v>
      </c>
      <c r="F171" s="2" t="s">
        <v>1440</v>
      </c>
    </row>
    <row r="172" spans="2:6" hidden="1">
      <c r="B172" s="2" t="s">
        <v>1441</v>
      </c>
      <c r="C172" s="2" t="s">
        <v>1176</v>
      </c>
      <c r="D172" s="10" t="s">
        <v>355</v>
      </c>
      <c r="E172" s="10" t="s">
        <v>209</v>
      </c>
      <c r="F172" s="2"/>
    </row>
    <row r="173" spans="2:6" hidden="1">
      <c r="B173" s="2" t="s">
        <v>1441</v>
      </c>
      <c r="C173" s="2" t="s">
        <v>1176</v>
      </c>
      <c r="D173" s="10" t="s">
        <v>355</v>
      </c>
      <c r="E173" s="10" t="s">
        <v>209</v>
      </c>
      <c r="F173" s="2"/>
    </row>
    <row r="174" spans="2:6" hidden="1">
      <c r="B174" s="2" t="s">
        <v>527</v>
      </c>
      <c r="C174" s="2" t="s">
        <v>526</v>
      </c>
      <c r="D174" s="10" t="s">
        <v>177</v>
      </c>
      <c r="E174" s="10" t="s">
        <v>214</v>
      </c>
      <c r="F174" s="2"/>
    </row>
    <row r="175" spans="2:6">
      <c r="B175" s="2" t="s">
        <v>535</v>
      </c>
      <c r="C175" s="2" t="s">
        <v>534</v>
      </c>
      <c r="D175" s="10" t="s">
        <v>45</v>
      </c>
      <c r="E175" s="10" t="s">
        <v>215</v>
      </c>
      <c r="F175" s="2"/>
    </row>
    <row r="176" spans="2:6" hidden="1">
      <c r="B176" s="2"/>
      <c r="C176" s="2" t="s">
        <v>148</v>
      </c>
      <c r="D176" s="10"/>
      <c r="E176" s="10"/>
      <c r="F176" s="2"/>
    </row>
    <row r="177" spans="2:6" hidden="1">
      <c r="B177" s="2"/>
      <c r="C177" s="2" t="s">
        <v>146</v>
      </c>
      <c r="D177" s="10"/>
      <c r="E177" s="10"/>
      <c r="F177" s="2"/>
    </row>
    <row r="178" spans="2:6" hidden="1">
      <c r="B178" s="2"/>
      <c r="C178" s="2" t="s">
        <v>147</v>
      </c>
      <c r="D178" s="10"/>
      <c r="E178" s="10"/>
      <c r="F178" s="2"/>
    </row>
    <row r="179" spans="2:6" hidden="1">
      <c r="B179" t="s">
        <v>1640</v>
      </c>
      <c r="C179" s="2" t="s">
        <v>1641</v>
      </c>
      <c r="D179" s="10" t="s">
        <v>45</v>
      </c>
      <c r="E179" s="10" t="s">
        <v>209</v>
      </c>
      <c r="F179" s="2" t="s">
        <v>1775</v>
      </c>
    </row>
    <row r="180" spans="2:6">
      <c r="B180" s="2"/>
      <c r="C180" s="2"/>
      <c r="D180" s="10"/>
      <c r="E180" s="10"/>
      <c r="F180" s="2"/>
    </row>
    <row r="181" spans="2:6">
      <c r="B181" s="2"/>
      <c r="C181" s="2"/>
      <c r="D181" s="10"/>
      <c r="E181" s="10"/>
      <c r="F181" s="2"/>
    </row>
    <row r="182" spans="2:6">
      <c r="B182" s="2"/>
      <c r="C182" s="2"/>
      <c r="D182" s="10"/>
      <c r="E182" s="10"/>
      <c r="F182" s="2"/>
    </row>
    <row r="183" spans="2:6">
      <c r="B183" s="2"/>
      <c r="C183" s="2"/>
      <c r="D183" s="10"/>
      <c r="E183" s="10"/>
      <c r="F183" s="2"/>
    </row>
    <row r="184" spans="2:6">
      <c r="B184" s="2"/>
      <c r="C184" s="2"/>
      <c r="D184" s="10"/>
      <c r="E184" s="10"/>
      <c r="F184" s="2"/>
    </row>
    <row r="185" spans="2:6">
      <c r="B185" s="2"/>
      <c r="C185" s="2"/>
      <c r="D185" s="10"/>
      <c r="E185" s="10"/>
      <c r="F185" s="2"/>
    </row>
    <row r="186" spans="2:6">
      <c r="B186" s="2"/>
      <c r="C186" s="2"/>
      <c r="D186" s="10"/>
      <c r="E186" s="10"/>
      <c r="F186" s="2"/>
    </row>
    <row r="187" spans="2:6">
      <c r="B187" s="2"/>
      <c r="C187" s="2"/>
      <c r="D187" s="10"/>
      <c r="E187" s="10"/>
      <c r="F187" s="2"/>
    </row>
    <row r="188" spans="2:6">
      <c r="B188" s="2"/>
      <c r="C188" s="2"/>
      <c r="D188" s="10"/>
      <c r="E188" s="10"/>
      <c r="F188" s="2"/>
    </row>
    <row r="189" spans="2:6">
      <c r="B189" s="2"/>
      <c r="C189" s="2"/>
      <c r="D189" s="10"/>
      <c r="E189" s="10"/>
      <c r="F189" s="2"/>
    </row>
    <row r="190" spans="2:6">
      <c r="B190" s="2"/>
      <c r="C190" s="2"/>
      <c r="D190" s="10"/>
      <c r="E190" s="10"/>
      <c r="F190" s="2"/>
    </row>
    <row r="191" spans="2:6">
      <c r="B191" s="2"/>
      <c r="C191" s="2"/>
      <c r="D191" s="10"/>
      <c r="E191" s="10"/>
      <c r="F191" s="2"/>
    </row>
    <row r="192" spans="2:6">
      <c r="B192" s="2"/>
      <c r="C192" s="2"/>
      <c r="D192" s="10"/>
      <c r="E192" s="10"/>
      <c r="F192" s="2"/>
    </row>
    <row r="193" spans="2:6">
      <c r="B193" s="2"/>
      <c r="C193" s="2"/>
      <c r="D193" s="10"/>
      <c r="E193" s="10"/>
      <c r="F193" s="2"/>
    </row>
    <row r="194" spans="2:6">
      <c r="B194" s="2"/>
      <c r="C194" s="2"/>
      <c r="D194" s="10"/>
      <c r="E194" s="10"/>
      <c r="F194" s="2"/>
    </row>
    <row r="195" spans="2:6">
      <c r="B195" s="2"/>
      <c r="C195" s="2"/>
      <c r="D195" s="10"/>
      <c r="E195" s="10"/>
      <c r="F195" s="2"/>
    </row>
    <row r="196" spans="2:6">
      <c r="B196" s="2"/>
      <c r="C196" s="2"/>
      <c r="D196" s="10"/>
      <c r="E196" s="10"/>
      <c r="F196" s="2"/>
    </row>
    <row r="197" spans="2:6">
      <c r="B197" s="2"/>
      <c r="C197" s="2"/>
      <c r="D197" s="10"/>
      <c r="E197" s="10"/>
      <c r="F197" s="2"/>
    </row>
    <row r="198" spans="2:6">
      <c r="B198" s="2"/>
      <c r="C198" s="2"/>
      <c r="D198" s="10"/>
      <c r="E198" s="10"/>
      <c r="F198" s="2"/>
    </row>
    <row r="199" spans="2:6">
      <c r="B199" s="2"/>
      <c r="C199" s="2"/>
      <c r="D199" s="10"/>
      <c r="E199" s="10"/>
      <c r="F199" s="2"/>
    </row>
    <row r="200" spans="2:6">
      <c r="B200" s="2"/>
      <c r="C200" s="2"/>
      <c r="D200" s="10"/>
      <c r="E200" s="10"/>
      <c r="F200" s="2"/>
    </row>
    <row r="201" spans="2:6">
      <c r="B201" s="2"/>
      <c r="C201" s="2"/>
      <c r="D201" s="10"/>
      <c r="E201" s="10"/>
      <c r="F201" s="2"/>
    </row>
    <row r="202" spans="2:6">
      <c r="B202" s="2"/>
      <c r="C202" s="2"/>
      <c r="D202" s="10"/>
      <c r="E202" s="10"/>
      <c r="F202" s="2"/>
    </row>
    <row r="203" spans="2:6">
      <c r="B203" s="2"/>
      <c r="C203" s="2"/>
      <c r="D203" s="10"/>
      <c r="E203" s="10"/>
      <c r="F203" s="2"/>
    </row>
    <row r="204" spans="2:6">
      <c r="B204" s="2"/>
      <c r="C204" s="2"/>
      <c r="D204" s="10"/>
      <c r="E204" s="10"/>
      <c r="F204" s="2"/>
    </row>
    <row r="205" spans="2:6">
      <c r="B205" s="2"/>
      <c r="C205" s="2"/>
      <c r="D205" s="10"/>
      <c r="E205" s="10"/>
      <c r="F205" s="2"/>
    </row>
    <row r="206" spans="2:6">
      <c r="B206" s="2"/>
      <c r="C206" s="2"/>
      <c r="D206" s="10"/>
      <c r="E206" s="10"/>
      <c r="F206" s="2"/>
    </row>
    <row r="207" spans="2:6">
      <c r="B207" s="2"/>
      <c r="C207" s="2"/>
      <c r="D207" s="10"/>
      <c r="E207" s="10"/>
      <c r="F207" s="2"/>
    </row>
    <row r="208" spans="2:6">
      <c r="B208" s="2"/>
      <c r="C208" s="2"/>
      <c r="D208" s="10"/>
      <c r="E208" s="10"/>
      <c r="F208" s="2"/>
    </row>
    <row r="209" spans="2:6">
      <c r="B209" s="2"/>
      <c r="C209" s="2"/>
      <c r="D209" s="10"/>
      <c r="E209" s="10"/>
      <c r="F209" s="2"/>
    </row>
    <row r="210" spans="2:6">
      <c r="B210" s="2"/>
      <c r="C210" s="2"/>
      <c r="D210" s="10"/>
      <c r="E210" s="10"/>
      <c r="F210" s="2"/>
    </row>
    <row r="211" spans="2:6">
      <c r="B211" s="2"/>
      <c r="C211" s="2"/>
      <c r="D211" s="10"/>
      <c r="E211" s="10"/>
      <c r="F211" s="2"/>
    </row>
    <row r="212" spans="2:6">
      <c r="B212" s="2"/>
      <c r="C212" s="2"/>
      <c r="D212" s="10"/>
      <c r="E212" s="10"/>
      <c r="F212" s="2"/>
    </row>
    <row r="213" spans="2:6">
      <c r="B213" s="2"/>
      <c r="C213" s="2"/>
      <c r="D213" s="10"/>
      <c r="E213" s="10"/>
      <c r="F213" s="2"/>
    </row>
    <row r="214" spans="2:6">
      <c r="B214" s="2"/>
      <c r="C214" s="2"/>
      <c r="D214" s="10"/>
      <c r="E214" s="10"/>
      <c r="F214" s="2"/>
    </row>
    <row r="215" spans="2:6">
      <c r="B215" s="2"/>
      <c r="C215" s="2"/>
      <c r="D215" s="10"/>
      <c r="E215" s="10"/>
      <c r="F215" s="2"/>
    </row>
    <row r="216" spans="2:6">
      <c r="B216" s="2"/>
      <c r="C216" s="2"/>
      <c r="D216" s="10"/>
      <c r="E216" s="10"/>
      <c r="F216" s="2"/>
    </row>
    <row r="217" spans="2:6">
      <c r="B217" s="2"/>
      <c r="C217" s="2"/>
      <c r="D217" s="10"/>
      <c r="E217" s="10"/>
      <c r="F217" s="2"/>
    </row>
    <row r="218" spans="2:6">
      <c r="B218" s="2"/>
      <c r="C218" s="2"/>
      <c r="D218" s="10"/>
      <c r="E218" s="10"/>
      <c r="F218" s="2"/>
    </row>
    <row r="219" spans="2:6">
      <c r="B219" s="2"/>
      <c r="C219" s="2"/>
      <c r="D219" s="10"/>
      <c r="E219" s="10"/>
      <c r="F219" s="2"/>
    </row>
    <row r="220" spans="2:6">
      <c r="B220" s="2"/>
      <c r="C220" s="2"/>
      <c r="D220" s="10"/>
      <c r="E220" s="10"/>
      <c r="F220" s="2"/>
    </row>
    <row r="221" spans="2:6">
      <c r="B221" s="2"/>
      <c r="C221" s="2"/>
      <c r="D221" s="10"/>
      <c r="E221" s="10"/>
      <c r="F221" s="2"/>
    </row>
    <row r="222" spans="2:6">
      <c r="B222" s="2"/>
      <c r="C222" s="2"/>
      <c r="D222" s="10"/>
      <c r="E222" s="10"/>
      <c r="F222" s="2"/>
    </row>
    <row r="223" spans="2:6">
      <c r="B223" s="2"/>
      <c r="C223" s="2"/>
      <c r="D223" s="10"/>
      <c r="E223" s="10"/>
      <c r="F223" s="2"/>
    </row>
    <row r="224" spans="2:6">
      <c r="B224" s="2"/>
      <c r="C224" s="2"/>
      <c r="D224" s="10"/>
      <c r="E224" s="10"/>
      <c r="F224" s="2"/>
    </row>
    <row r="225" spans="2:6">
      <c r="B225" s="2"/>
      <c r="C225" s="2"/>
      <c r="D225" s="10"/>
      <c r="E225" s="10"/>
      <c r="F225" s="2"/>
    </row>
    <row r="226" spans="2:6">
      <c r="B226" s="2"/>
      <c r="C226" s="2"/>
      <c r="D226" s="10"/>
      <c r="E226" s="10"/>
      <c r="F226" s="2"/>
    </row>
    <row r="227" spans="2:6">
      <c r="B227" s="2"/>
      <c r="C227" s="2"/>
      <c r="D227" s="10"/>
      <c r="E227" s="10"/>
      <c r="F227" s="2"/>
    </row>
    <row r="228" spans="2:6">
      <c r="B228" s="2"/>
      <c r="C228" s="2"/>
      <c r="D228" s="10"/>
      <c r="E228" s="10"/>
      <c r="F228" s="2"/>
    </row>
    <row r="229" spans="2:6">
      <c r="B229" s="2"/>
      <c r="C229" s="2"/>
      <c r="D229" s="10"/>
      <c r="E229" s="10"/>
      <c r="F229" s="2"/>
    </row>
    <row r="230" spans="2:6">
      <c r="B230" s="2"/>
      <c r="C230" s="2"/>
      <c r="D230" s="10"/>
      <c r="E230" s="10"/>
      <c r="F230" s="2"/>
    </row>
    <row r="231" spans="2:6">
      <c r="B231" s="2"/>
      <c r="C231" s="2"/>
      <c r="D231" s="10"/>
      <c r="E231" s="10"/>
      <c r="F231" s="2"/>
    </row>
    <row r="232" spans="2:6">
      <c r="B232" s="2"/>
      <c r="C232" s="2"/>
      <c r="D232" s="10"/>
      <c r="E232" s="10"/>
      <c r="F232" s="2"/>
    </row>
    <row r="233" spans="2:6">
      <c r="B233" s="2"/>
      <c r="C233" s="2"/>
      <c r="D233" s="10"/>
      <c r="E233" s="10"/>
      <c r="F233" s="2"/>
    </row>
    <row r="234" spans="2:6">
      <c r="B234" s="2"/>
      <c r="C234" s="2"/>
      <c r="D234" s="10"/>
      <c r="E234" s="10"/>
      <c r="F234" s="2"/>
    </row>
    <row r="235" spans="2:6">
      <c r="B235" s="2"/>
      <c r="C235" s="2"/>
      <c r="D235" s="10"/>
      <c r="E235" s="10"/>
      <c r="F235" s="2"/>
    </row>
    <row r="236" spans="2:6">
      <c r="B236" s="2"/>
      <c r="C236" s="2"/>
      <c r="D236" s="10"/>
      <c r="E236" s="10"/>
      <c r="F236" s="2"/>
    </row>
    <row r="237" spans="2:6">
      <c r="B237" s="2"/>
      <c r="C237" s="2"/>
      <c r="D237" s="10"/>
      <c r="E237" s="10"/>
      <c r="F237" s="2"/>
    </row>
    <row r="238" spans="2:6">
      <c r="B238" s="2"/>
      <c r="C238" s="2"/>
      <c r="D238" s="10"/>
      <c r="E238" s="10"/>
      <c r="F238" s="2"/>
    </row>
    <row r="239" spans="2:6">
      <c r="B239" s="2"/>
      <c r="C239" s="2"/>
      <c r="D239" s="10"/>
      <c r="E239" s="10"/>
      <c r="F239" s="2"/>
    </row>
    <row r="240" spans="2:6">
      <c r="B240" s="2"/>
      <c r="C240" s="2"/>
      <c r="D240" s="10"/>
      <c r="E240" s="10"/>
      <c r="F240" s="2"/>
    </row>
    <row r="241" spans="2:6">
      <c r="B241" s="2"/>
      <c r="C241" s="2"/>
      <c r="D241" s="10"/>
      <c r="E241" s="10"/>
      <c r="F241" s="2"/>
    </row>
    <row r="242" spans="2:6">
      <c r="B242" s="2"/>
      <c r="C242" s="2"/>
      <c r="D242" s="10"/>
      <c r="E242" s="10"/>
      <c r="F242" s="2"/>
    </row>
    <row r="243" spans="2:6">
      <c r="B243" s="2"/>
      <c r="C243" s="2"/>
      <c r="D243" s="10"/>
      <c r="E243" s="10"/>
      <c r="F243" s="2"/>
    </row>
    <row r="244" spans="2:6">
      <c r="B244" s="2"/>
      <c r="C244" s="2"/>
      <c r="D244" s="10"/>
      <c r="E244" s="10"/>
      <c r="F244" s="2"/>
    </row>
    <row r="245" spans="2:6">
      <c r="B245" s="2"/>
      <c r="C245" s="2"/>
      <c r="D245" s="10"/>
      <c r="E245" s="10"/>
      <c r="F245" s="2"/>
    </row>
    <row r="246" spans="2:6">
      <c r="B246" s="2"/>
      <c r="C246" s="2"/>
      <c r="D246" s="10"/>
      <c r="E246" s="10"/>
      <c r="F246" s="2"/>
    </row>
    <row r="247" spans="2:6">
      <c r="B247" s="2"/>
      <c r="C247" s="2"/>
      <c r="D247" s="10"/>
      <c r="E247" s="10"/>
      <c r="F247" s="2"/>
    </row>
    <row r="248" spans="2:6">
      <c r="B248" s="2"/>
      <c r="C248" s="2"/>
      <c r="D248" s="10"/>
      <c r="E248" s="10"/>
      <c r="F248" s="2"/>
    </row>
    <row r="249" spans="2:6">
      <c r="B249" s="2"/>
      <c r="C249" s="2"/>
      <c r="D249" s="10"/>
      <c r="E249" s="10"/>
      <c r="F249" s="2"/>
    </row>
    <row r="250" spans="2:6">
      <c r="B250" s="2"/>
      <c r="C250" s="2"/>
      <c r="D250" s="10"/>
      <c r="E250" s="10"/>
      <c r="F250" s="2"/>
    </row>
    <row r="251" spans="2:6">
      <c r="B251" s="2"/>
      <c r="C251" s="2"/>
      <c r="D251" s="10"/>
      <c r="E251" s="10"/>
      <c r="F251" s="2"/>
    </row>
    <row r="252" spans="2:6">
      <c r="B252" s="2"/>
      <c r="C252" s="2"/>
      <c r="D252" s="10"/>
      <c r="E252" s="10"/>
      <c r="F252" s="2"/>
    </row>
    <row r="253" spans="2:6">
      <c r="B253" s="2"/>
      <c r="C253" s="2"/>
      <c r="D253" s="10"/>
      <c r="E253" s="10"/>
      <c r="F253" s="2"/>
    </row>
    <row r="254" spans="2:6">
      <c r="B254" s="2"/>
      <c r="C254" s="2"/>
      <c r="D254" s="10"/>
      <c r="E254" s="10"/>
      <c r="F254" s="2"/>
    </row>
    <row r="255" spans="2:6">
      <c r="B255" s="2"/>
      <c r="C255" s="2"/>
      <c r="D255" s="10"/>
      <c r="E255" s="10"/>
      <c r="F255" s="2"/>
    </row>
    <row r="256" spans="2:6">
      <c r="B256" s="2"/>
      <c r="C256" s="2"/>
      <c r="D256" s="10"/>
      <c r="E256" s="10"/>
      <c r="F256" s="2"/>
    </row>
    <row r="257" spans="2:6">
      <c r="B257" s="2"/>
      <c r="C257" s="2"/>
      <c r="D257" s="10"/>
      <c r="E257" s="10"/>
      <c r="F257" s="2"/>
    </row>
    <row r="258" spans="2:6">
      <c r="B258" s="2"/>
      <c r="C258" s="2"/>
      <c r="D258" s="10"/>
      <c r="E258" s="10"/>
      <c r="F258" s="2"/>
    </row>
    <row r="259" spans="2:6">
      <c r="B259" s="2"/>
      <c r="C259" s="2"/>
      <c r="D259" s="10"/>
      <c r="E259" s="10"/>
      <c r="F259" s="2"/>
    </row>
    <row r="260" spans="2:6">
      <c r="B260" s="2"/>
      <c r="C260" s="2"/>
      <c r="D260" s="10"/>
      <c r="E260" s="10"/>
      <c r="F260" s="2"/>
    </row>
    <row r="261" spans="2:6">
      <c r="B261" s="2"/>
      <c r="C261" s="2"/>
      <c r="D261" s="10"/>
      <c r="E261" s="10"/>
      <c r="F261" s="2"/>
    </row>
    <row r="262" spans="2:6">
      <c r="B262" s="2"/>
      <c r="C262" s="2"/>
      <c r="D262" s="10"/>
      <c r="E262" s="10"/>
      <c r="F262" s="2"/>
    </row>
    <row r="263" spans="2:6">
      <c r="B263" s="2"/>
      <c r="C263" s="2"/>
      <c r="D263" s="10"/>
      <c r="E263" s="10"/>
      <c r="F263" s="2"/>
    </row>
    <row r="264" spans="2:6">
      <c r="B264" s="2"/>
      <c r="C264" s="2"/>
      <c r="D264" s="10"/>
      <c r="E264" s="10"/>
      <c r="F264" s="2"/>
    </row>
    <row r="265" spans="2:6">
      <c r="B265" s="2"/>
      <c r="C265" s="2"/>
      <c r="D265" s="10"/>
      <c r="E265" s="10"/>
      <c r="F265" s="2"/>
    </row>
    <row r="266" spans="2:6">
      <c r="B266" s="2"/>
      <c r="C266" s="2"/>
      <c r="D266" s="10"/>
      <c r="E266" s="10"/>
      <c r="F266" s="2"/>
    </row>
    <row r="267" spans="2:6">
      <c r="B267" s="2"/>
      <c r="C267" s="2"/>
      <c r="D267" s="10"/>
      <c r="E267" s="10"/>
      <c r="F267" s="2"/>
    </row>
    <row r="268" spans="2:6">
      <c r="B268" s="2"/>
      <c r="C268" s="2"/>
      <c r="D268" s="10"/>
      <c r="E268" s="10"/>
      <c r="F268" s="2"/>
    </row>
    <row r="269" spans="2:6">
      <c r="B269" s="2"/>
      <c r="C269" s="2"/>
      <c r="D269" s="10"/>
      <c r="E269" s="10"/>
      <c r="F269" s="2"/>
    </row>
    <row r="270" spans="2:6">
      <c r="B270" s="2"/>
      <c r="C270" s="2"/>
      <c r="D270" s="10"/>
      <c r="E270" s="10"/>
      <c r="F270" s="2"/>
    </row>
    <row r="271" spans="2:6">
      <c r="B271" s="2"/>
      <c r="C271" s="2"/>
      <c r="D271" s="10"/>
      <c r="E271" s="10"/>
      <c r="F271" s="2"/>
    </row>
    <row r="272" spans="2:6">
      <c r="B272" s="2"/>
      <c r="C272" s="2"/>
      <c r="D272" s="10"/>
      <c r="E272" s="10"/>
      <c r="F272" s="2"/>
    </row>
    <row r="273" spans="2:6">
      <c r="B273" s="2"/>
      <c r="C273" s="2"/>
      <c r="D273" s="10"/>
      <c r="E273" s="10"/>
      <c r="F273" s="2"/>
    </row>
    <row r="274" spans="2:6">
      <c r="B274" s="2"/>
      <c r="C274" s="2"/>
      <c r="D274" s="10"/>
      <c r="E274" s="10"/>
      <c r="F274" s="2"/>
    </row>
    <row r="275" spans="2:6">
      <c r="B275" s="2"/>
      <c r="C275" s="2"/>
      <c r="D275" s="10"/>
      <c r="E275" s="10"/>
      <c r="F275" s="2"/>
    </row>
    <row r="276" spans="2:6">
      <c r="B276" s="2"/>
      <c r="C276" s="2"/>
      <c r="D276" s="10"/>
      <c r="E276" s="10"/>
      <c r="F276" s="2"/>
    </row>
    <row r="277" spans="2:6">
      <c r="B277" s="2"/>
      <c r="C277" s="2"/>
      <c r="D277" s="10"/>
      <c r="E277" s="10"/>
      <c r="F277" s="2"/>
    </row>
    <row r="278" spans="2:6">
      <c r="B278" s="2"/>
      <c r="C278" s="2"/>
      <c r="D278" s="10"/>
      <c r="E278" s="10"/>
      <c r="F278" s="2"/>
    </row>
    <row r="279" spans="2:6">
      <c r="B279" s="2"/>
      <c r="C279" s="2"/>
      <c r="D279" s="10"/>
      <c r="E279" s="10"/>
      <c r="F279" s="2"/>
    </row>
    <row r="280" spans="2:6">
      <c r="B280" s="2"/>
      <c r="C280" s="2"/>
      <c r="D280" s="10"/>
      <c r="E280" s="10"/>
      <c r="F280" s="2"/>
    </row>
    <row r="281" spans="2:6">
      <c r="B281" s="2"/>
      <c r="C281" s="2"/>
      <c r="D281" s="10"/>
      <c r="E281" s="10"/>
      <c r="F281" s="2"/>
    </row>
    <row r="282" spans="2:6">
      <c r="B282" s="2"/>
      <c r="C282" s="2"/>
      <c r="D282" s="10"/>
      <c r="E282" s="10"/>
      <c r="F282" s="2"/>
    </row>
    <row r="283" spans="2:6">
      <c r="B283" s="2"/>
      <c r="C283" s="2"/>
      <c r="D283" s="10"/>
      <c r="E283" s="10"/>
      <c r="F283" s="2"/>
    </row>
    <row r="284" spans="2:6">
      <c r="B284" s="2"/>
      <c r="C284" s="2"/>
      <c r="D284" s="10"/>
      <c r="E284" s="10"/>
      <c r="F284" s="2"/>
    </row>
    <row r="285" spans="2:6">
      <c r="B285" s="2"/>
      <c r="C285" s="2"/>
      <c r="D285" s="10"/>
      <c r="E285" s="10"/>
      <c r="F285" s="2"/>
    </row>
    <row r="286" spans="2:6">
      <c r="B286" s="2"/>
      <c r="C286" s="2"/>
      <c r="D286" s="10"/>
      <c r="E286" s="10"/>
      <c r="F286" s="2"/>
    </row>
    <row r="287" spans="2:6">
      <c r="B287" s="2"/>
      <c r="C287" s="2"/>
      <c r="D287" s="10"/>
      <c r="E287" s="10"/>
      <c r="F287" s="2"/>
    </row>
    <row r="288" spans="2:6">
      <c r="B288" s="2"/>
      <c r="C288" s="2"/>
      <c r="D288" s="10"/>
      <c r="E288" s="10"/>
      <c r="F288" s="2"/>
    </row>
    <row r="289" spans="2:6">
      <c r="B289" s="2"/>
      <c r="C289" s="2"/>
      <c r="D289" s="10"/>
      <c r="E289" s="10"/>
      <c r="F289" s="2"/>
    </row>
    <row r="290" spans="2:6">
      <c r="B290" s="2"/>
      <c r="C290" s="2"/>
      <c r="D290" s="10"/>
      <c r="E290" s="10"/>
      <c r="F290" s="2"/>
    </row>
    <row r="291" spans="2:6">
      <c r="B291" s="2"/>
      <c r="C291" s="2"/>
      <c r="D291" s="10"/>
      <c r="E291" s="10"/>
      <c r="F291" s="2"/>
    </row>
    <row r="292" spans="2:6">
      <c r="B292" s="2"/>
      <c r="C292" s="2"/>
      <c r="D292" s="10"/>
      <c r="E292" s="10"/>
      <c r="F292" s="2"/>
    </row>
    <row r="293" spans="2:6">
      <c r="B293" s="2"/>
      <c r="C293" s="2"/>
      <c r="D293" s="10"/>
      <c r="E293" s="10"/>
      <c r="F293" s="2"/>
    </row>
    <row r="294" spans="2:6">
      <c r="B294" s="2"/>
      <c r="C294" s="2"/>
      <c r="D294" s="10"/>
      <c r="E294" s="10"/>
      <c r="F294" s="2"/>
    </row>
    <row r="295" spans="2:6">
      <c r="B295" s="2"/>
      <c r="C295" s="2"/>
      <c r="D295" s="10"/>
      <c r="E295" s="10"/>
      <c r="F295" s="2"/>
    </row>
    <row r="296" spans="2:6">
      <c r="B296" s="2"/>
      <c r="C296" s="2"/>
      <c r="D296" s="10"/>
      <c r="E296" s="10"/>
      <c r="F296" s="2"/>
    </row>
    <row r="297" spans="2:6">
      <c r="B297" s="2"/>
      <c r="C297" s="2"/>
      <c r="D297" s="10"/>
      <c r="E297" s="10"/>
      <c r="F297" s="2"/>
    </row>
    <row r="298" spans="2:6">
      <c r="B298" s="2"/>
      <c r="C298" s="2"/>
      <c r="D298" s="10"/>
      <c r="E298" s="10"/>
      <c r="F298" s="2"/>
    </row>
    <row r="299" spans="2:6">
      <c r="B299" s="2"/>
      <c r="C299" s="2"/>
      <c r="D299" s="10"/>
      <c r="E299" s="10"/>
      <c r="F299" s="2"/>
    </row>
    <row r="300" spans="2:6">
      <c r="B300" s="2"/>
      <c r="C300" s="2"/>
      <c r="D300" s="10"/>
      <c r="E300" s="10"/>
      <c r="F300" s="2"/>
    </row>
    <row r="301" spans="2:6">
      <c r="B301" s="2"/>
      <c r="C301" s="2"/>
      <c r="D301" s="10"/>
      <c r="E301" s="10"/>
      <c r="F301" s="2"/>
    </row>
    <row r="302" spans="2:6">
      <c r="B302" s="2"/>
      <c r="C302" s="2"/>
      <c r="D302" s="10"/>
      <c r="E302" s="10"/>
      <c r="F302" s="2"/>
    </row>
    <row r="303" spans="2:6">
      <c r="B303" s="2"/>
      <c r="C303" s="2"/>
      <c r="D303" s="10"/>
      <c r="E303" s="10"/>
      <c r="F303" s="2"/>
    </row>
    <row r="304" spans="2:6">
      <c r="B304" s="2"/>
      <c r="C304" s="2"/>
      <c r="D304" s="10"/>
      <c r="E304" s="10"/>
      <c r="F304" s="2"/>
    </row>
    <row r="305" spans="2:6">
      <c r="B305" s="2"/>
      <c r="C305" s="2"/>
      <c r="D305" s="10"/>
      <c r="E305" s="10"/>
      <c r="F305" s="2"/>
    </row>
    <row r="306" spans="2:6">
      <c r="B306" s="2"/>
      <c r="C306" s="2"/>
      <c r="D306" s="10"/>
      <c r="E306" s="10"/>
      <c r="F306" s="2"/>
    </row>
    <row r="307" spans="2:6">
      <c r="B307" s="2"/>
      <c r="C307" s="2"/>
      <c r="D307" s="10"/>
      <c r="E307" s="10"/>
      <c r="F307" s="2"/>
    </row>
    <row r="308" spans="2:6">
      <c r="B308" s="2"/>
      <c r="C308" s="2"/>
      <c r="D308" s="10"/>
      <c r="E308" s="10"/>
      <c r="F308" s="2"/>
    </row>
    <row r="309" spans="2:6">
      <c r="B309" s="2"/>
      <c r="C309" s="2"/>
      <c r="D309" s="10"/>
      <c r="E309" s="10"/>
      <c r="F309" s="2"/>
    </row>
    <row r="310" spans="2:6">
      <c r="B310" s="2"/>
      <c r="C310" s="2"/>
      <c r="D310" s="10"/>
      <c r="E310" s="10"/>
      <c r="F310" s="2"/>
    </row>
    <row r="311" spans="2:6">
      <c r="B311" s="2"/>
      <c r="C311" s="2"/>
      <c r="D311" s="10"/>
      <c r="E311" s="10"/>
      <c r="F311" s="2"/>
    </row>
    <row r="312" spans="2:6">
      <c r="B312" s="2"/>
      <c r="C312" s="2"/>
      <c r="D312" s="10"/>
      <c r="E312" s="10"/>
      <c r="F312" s="2"/>
    </row>
    <row r="313" spans="2:6">
      <c r="B313" s="2"/>
      <c r="C313" s="2"/>
      <c r="D313" s="10"/>
      <c r="E313" s="10"/>
      <c r="F313" s="2"/>
    </row>
    <row r="314" spans="2:6">
      <c r="B314" s="2"/>
      <c r="C314" s="2"/>
      <c r="D314" s="10"/>
      <c r="E314" s="10"/>
      <c r="F314" s="2"/>
    </row>
    <row r="315" spans="2:6">
      <c r="B315" s="2"/>
      <c r="C315" s="2"/>
      <c r="D315" s="10"/>
      <c r="E315" s="10"/>
      <c r="F315" s="2"/>
    </row>
    <row r="316" spans="2:6">
      <c r="B316" s="2"/>
      <c r="C316" s="2"/>
      <c r="D316" s="10"/>
      <c r="E316" s="10"/>
      <c r="F316" s="2"/>
    </row>
    <row r="317" spans="2:6">
      <c r="B317" s="2"/>
      <c r="C317" s="2"/>
      <c r="D317" s="10"/>
      <c r="E317" s="10"/>
      <c r="F317" s="2"/>
    </row>
    <row r="318" spans="2:6">
      <c r="B318" s="2"/>
      <c r="C318" s="2"/>
      <c r="D318" s="10"/>
      <c r="E318" s="10"/>
      <c r="F318" s="2"/>
    </row>
    <row r="319" spans="2:6">
      <c r="B319" s="2"/>
      <c r="C319" s="2"/>
      <c r="D319" s="10"/>
      <c r="E319" s="10"/>
      <c r="F319" s="2"/>
    </row>
    <row r="320" spans="2:6">
      <c r="B320" s="2"/>
      <c r="C320" s="2"/>
      <c r="D320" s="10"/>
      <c r="E320" s="10"/>
      <c r="F320" s="2"/>
    </row>
    <row r="321" spans="2:6">
      <c r="B321" s="2"/>
      <c r="C321" s="2"/>
      <c r="D321" s="10"/>
      <c r="E321" s="10"/>
      <c r="F321" s="2"/>
    </row>
    <row r="322" spans="2:6">
      <c r="B322" s="2"/>
      <c r="C322" s="2"/>
      <c r="D322" s="10"/>
      <c r="E322" s="10"/>
      <c r="F322" s="2"/>
    </row>
    <row r="323" spans="2:6">
      <c r="B323" s="2"/>
      <c r="C323" s="2"/>
      <c r="D323" s="10"/>
      <c r="E323" s="10"/>
      <c r="F323" s="2"/>
    </row>
    <row r="324" spans="2:6">
      <c r="B324" s="2"/>
      <c r="C324" s="2"/>
      <c r="D324" s="10"/>
      <c r="E324" s="10"/>
      <c r="F324" s="2"/>
    </row>
    <row r="325" spans="2:6">
      <c r="B325" s="2"/>
      <c r="C325" s="2"/>
      <c r="D325" s="10"/>
      <c r="E325" s="10"/>
      <c r="F325" s="2"/>
    </row>
    <row r="326" spans="2:6">
      <c r="B326" s="2"/>
      <c r="C326" s="2"/>
      <c r="D326" s="10"/>
      <c r="E326" s="10"/>
      <c r="F326" s="2"/>
    </row>
    <row r="327" spans="2:6">
      <c r="B327" s="2"/>
      <c r="C327" s="2"/>
      <c r="D327" s="10"/>
      <c r="E327" s="10"/>
      <c r="F327" s="2"/>
    </row>
    <row r="328" spans="2:6">
      <c r="B328" s="2"/>
      <c r="C328" s="2"/>
      <c r="D328" s="10"/>
      <c r="E328" s="10"/>
      <c r="F328" s="2"/>
    </row>
    <row r="329" spans="2:6">
      <c r="B329" s="2"/>
      <c r="C329" s="2"/>
      <c r="D329" s="10"/>
      <c r="E329" s="10"/>
      <c r="F329" s="2"/>
    </row>
    <row r="330" spans="2:6">
      <c r="B330" s="2"/>
      <c r="C330" s="2"/>
      <c r="D330" s="10"/>
      <c r="E330" s="10"/>
      <c r="F330" s="2"/>
    </row>
    <row r="331" spans="2:6">
      <c r="B331" s="2"/>
      <c r="C331" s="2"/>
      <c r="D331" s="10"/>
      <c r="E331" s="10"/>
      <c r="F331" s="2"/>
    </row>
    <row r="332" spans="2:6">
      <c r="B332" s="2"/>
      <c r="C332" s="2"/>
      <c r="D332" s="10"/>
      <c r="E332" s="10"/>
      <c r="F332" s="2"/>
    </row>
    <row r="333" spans="2:6">
      <c r="B333" s="2"/>
      <c r="C333" s="2"/>
      <c r="D333" s="10"/>
      <c r="E333" s="10"/>
      <c r="F333" s="2"/>
    </row>
    <row r="334" spans="2:6">
      <c r="B334" s="2"/>
      <c r="C334" s="2"/>
      <c r="D334" s="10"/>
      <c r="E334" s="10"/>
      <c r="F334" s="2"/>
    </row>
    <row r="335" spans="2:6">
      <c r="B335" s="2"/>
      <c r="C335" s="2"/>
      <c r="D335" s="10"/>
      <c r="E335" s="10"/>
      <c r="F335" s="2"/>
    </row>
    <row r="336" spans="2:6">
      <c r="B336" s="2"/>
      <c r="C336" s="2"/>
      <c r="D336" s="10"/>
      <c r="E336" s="10"/>
      <c r="F336" s="2"/>
    </row>
    <row r="337" spans="2:6">
      <c r="B337" s="2"/>
      <c r="C337" s="2"/>
      <c r="D337" s="10"/>
      <c r="E337" s="10"/>
      <c r="F337" s="2"/>
    </row>
    <row r="338" spans="2:6">
      <c r="B338" s="2"/>
      <c r="C338" s="2"/>
      <c r="D338" s="10"/>
      <c r="E338" s="10"/>
      <c r="F338" s="2"/>
    </row>
    <row r="339" spans="2:6">
      <c r="B339" s="2"/>
      <c r="C339" s="2"/>
      <c r="D339" s="10"/>
      <c r="E339" s="10"/>
      <c r="F339" s="2"/>
    </row>
    <row r="340" spans="2:6">
      <c r="B340" s="2"/>
      <c r="C340" s="2"/>
      <c r="D340" s="10"/>
      <c r="E340" s="10"/>
      <c r="F340" s="2"/>
    </row>
    <row r="341" spans="2:6">
      <c r="B341" s="2"/>
      <c r="C341" s="2"/>
      <c r="D341" s="10"/>
      <c r="E341" s="10"/>
      <c r="F341" s="2"/>
    </row>
    <row r="342" spans="2:6">
      <c r="B342" s="2"/>
      <c r="C342" s="2"/>
      <c r="D342" s="10"/>
      <c r="E342" s="10"/>
      <c r="F342" s="2"/>
    </row>
    <row r="343" spans="2:6">
      <c r="B343" s="2"/>
      <c r="C343" s="2"/>
      <c r="D343" s="10"/>
      <c r="E343" s="10"/>
      <c r="F343" s="2"/>
    </row>
    <row r="344" spans="2:6">
      <c r="B344" s="2"/>
      <c r="C344" s="2"/>
      <c r="D344" s="10"/>
      <c r="E344" s="10"/>
      <c r="F344" s="2"/>
    </row>
    <row r="345" spans="2:6">
      <c r="B345" s="2"/>
      <c r="C345" s="2"/>
      <c r="D345" s="10"/>
      <c r="E345" s="10"/>
      <c r="F345" s="2"/>
    </row>
    <row r="346" spans="2:6">
      <c r="B346" s="2"/>
      <c r="C346" s="2"/>
      <c r="D346" s="10"/>
      <c r="E346" s="10"/>
      <c r="F346" s="2"/>
    </row>
    <row r="347" spans="2:6">
      <c r="B347" s="2"/>
      <c r="C347" s="2"/>
      <c r="D347" s="10"/>
      <c r="E347" s="10"/>
      <c r="F347" s="2"/>
    </row>
    <row r="348" spans="2:6">
      <c r="B348" s="2"/>
      <c r="C348" s="2"/>
      <c r="D348" s="10"/>
      <c r="E348" s="10"/>
      <c r="F348" s="2"/>
    </row>
    <row r="349" spans="2:6">
      <c r="B349" s="2"/>
      <c r="C349" s="2"/>
      <c r="D349" s="10"/>
      <c r="E349" s="10"/>
      <c r="F349" s="2"/>
    </row>
    <row r="350" spans="2:6">
      <c r="B350" s="2"/>
      <c r="C350" s="2"/>
      <c r="D350" s="10"/>
      <c r="E350" s="10"/>
      <c r="F350" s="2"/>
    </row>
    <row r="351" spans="2:6">
      <c r="B351" s="2"/>
      <c r="C351" s="2"/>
      <c r="D351" s="10"/>
      <c r="E351" s="10"/>
      <c r="F351" s="2"/>
    </row>
    <row r="352" spans="2:6">
      <c r="B352" s="2"/>
      <c r="C352" s="2"/>
      <c r="D352" s="10"/>
      <c r="E352" s="10"/>
      <c r="F352" s="2"/>
    </row>
    <row r="353" spans="2:6">
      <c r="B353" s="2"/>
      <c r="C353" s="2"/>
      <c r="D353" s="10"/>
      <c r="E353" s="10"/>
      <c r="F353" s="2"/>
    </row>
    <row r="354" spans="2:6">
      <c r="B354" s="2"/>
      <c r="C354" s="2"/>
      <c r="D354" s="10"/>
      <c r="E354" s="10"/>
      <c r="F354" s="2"/>
    </row>
    <row r="355" spans="2:6">
      <c r="B355" s="2"/>
      <c r="C355" s="2"/>
      <c r="D355" s="10"/>
      <c r="E355" s="10"/>
      <c r="F355" s="2"/>
    </row>
    <row r="356" spans="2:6">
      <c r="B356" s="2"/>
      <c r="C356" s="2"/>
      <c r="D356" s="10"/>
      <c r="E356" s="10"/>
      <c r="F356" s="2"/>
    </row>
    <row r="357" spans="2:6">
      <c r="B357" s="2"/>
      <c r="C357" s="2"/>
      <c r="D357" s="10"/>
      <c r="E357" s="10"/>
      <c r="F357" s="2"/>
    </row>
    <row r="358" spans="2:6">
      <c r="B358" s="2"/>
      <c r="C358" s="2"/>
      <c r="D358" s="10"/>
      <c r="E358" s="10"/>
      <c r="F358" s="2"/>
    </row>
    <row r="359" spans="2:6">
      <c r="B359" s="2"/>
      <c r="C359" s="2"/>
      <c r="D359" s="10"/>
      <c r="E359" s="10"/>
      <c r="F359" s="2"/>
    </row>
    <row r="360" spans="2:6">
      <c r="B360" s="2"/>
      <c r="C360" s="2"/>
      <c r="D360" s="10"/>
      <c r="E360" s="10"/>
      <c r="F360" s="2"/>
    </row>
    <row r="361" spans="2:6">
      <c r="B361" s="2"/>
      <c r="C361" s="2"/>
      <c r="D361" s="10"/>
      <c r="E361" s="10"/>
      <c r="F361" s="2"/>
    </row>
    <row r="362" spans="2:6">
      <c r="B362" s="2"/>
      <c r="C362" s="2"/>
      <c r="D362" s="10"/>
      <c r="E362" s="10"/>
      <c r="F362" s="2"/>
    </row>
    <row r="363" spans="2:6">
      <c r="B363" s="2"/>
      <c r="C363" s="2"/>
      <c r="D363" s="10"/>
      <c r="E363" s="10"/>
      <c r="F363" s="2"/>
    </row>
    <row r="364" spans="2:6">
      <c r="B364" s="2"/>
      <c r="C364" s="2"/>
      <c r="D364" s="10"/>
      <c r="E364" s="10"/>
      <c r="F364" s="2"/>
    </row>
    <row r="365" spans="2:6">
      <c r="B365" s="2"/>
      <c r="C365" s="2"/>
      <c r="D365" s="10"/>
      <c r="E365" s="10"/>
      <c r="F365" s="2"/>
    </row>
    <row r="366" spans="2:6">
      <c r="B366" s="2"/>
      <c r="C366" s="2"/>
      <c r="D366" s="10"/>
      <c r="E366" s="10"/>
      <c r="F366" s="2"/>
    </row>
    <row r="367" spans="2:6">
      <c r="B367" s="2"/>
      <c r="C367" s="2"/>
      <c r="D367" s="10"/>
      <c r="E367" s="10"/>
      <c r="F367" s="2"/>
    </row>
    <row r="368" spans="2:6">
      <c r="B368" s="2"/>
      <c r="C368" s="2"/>
      <c r="D368" s="10"/>
      <c r="E368" s="10"/>
      <c r="F368" s="2"/>
    </row>
    <row r="369" spans="2:6">
      <c r="B369" s="2"/>
      <c r="C369" s="2"/>
      <c r="D369" s="10"/>
      <c r="E369" s="10"/>
      <c r="F369" s="2"/>
    </row>
    <row r="370" spans="2:6">
      <c r="B370" s="2"/>
      <c r="C370" s="2"/>
      <c r="D370" s="10"/>
      <c r="E370" s="10"/>
      <c r="F370" s="2"/>
    </row>
  </sheetData>
  <autoFilter ref="A1:K179" xr:uid="{189F6AB5-D4BA-4E2D-8404-C179284AB765}">
    <filterColumn colId="4">
      <filters>
        <filter val="PreProd"/>
      </filters>
    </filterColumn>
  </autoFilter>
  <phoneticPr fontId="52" type="noConversion"/>
  <hyperlinks>
    <hyperlink ref="F15" r:id="rId1" xr:uid="{A4B7C7B6-01C4-4DCD-8C1E-14021760FDB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4464-27BF-4D7C-955E-6868DFFB1F86}">
  <dimension ref="A1:N27"/>
  <sheetViews>
    <sheetView workbookViewId="0">
      <selection activeCell="K17" sqref="K17"/>
    </sheetView>
  </sheetViews>
  <sheetFormatPr defaultRowHeight="14.5"/>
  <cols>
    <col min="1" max="1" width="24.54296875" customWidth="1"/>
    <col min="2" max="2" width="41.54296875" customWidth="1"/>
    <col min="7" max="7" width="15.81640625" customWidth="1"/>
  </cols>
  <sheetData>
    <row r="1" spans="1:14" ht="15" thickBot="1">
      <c r="A1" s="67" t="s">
        <v>1</v>
      </c>
    </row>
    <row r="2" spans="1:14" ht="19" thickBot="1">
      <c r="A2" s="271" t="s">
        <v>856</v>
      </c>
      <c r="B2" s="272" t="s">
        <v>857</v>
      </c>
    </row>
    <row r="3" spans="1:14">
      <c r="A3" s="4" t="s">
        <v>858</v>
      </c>
      <c r="B3" s="4" t="s">
        <v>859</v>
      </c>
      <c r="G3" s="284" t="s">
        <v>965</v>
      </c>
      <c r="H3" s="131"/>
      <c r="I3" s="131"/>
      <c r="J3" s="131"/>
      <c r="K3" s="131"/>
      <c r="L3" s="131"/>
      <c r="M3" s="131"/>
      <c r="N3" s="131"/>
    </row>
    <row r="4" spans="1:14">
      <c r="A4" s="2" t="s">
        <v>860</v>
      </c>
      <c r="B4" s="2" t="s">
        <v>861</v>
      </c>
      <c r="G4" s="285"/>
      <c r="H4" s="131"/>
      <c r="I4" s="131"/>
      <c r="J4" s="131"/>
      <c r="K4" s="131"/>
      <c r="L4" s="131"/>
      <c r="M4" s="131"/>
      <c r="N4" s="131"/>
    </row>
    <row r="5" spans="1:14">
      <c r="A5" s="2" t="s">
        <v>862</v>
      </c>
      <c r="B5" s="2" t="s">
        <v>863</v>
      </c>
      <c r="G5" s="285" t="s">
        <v>966</v>
      </c>
      <c r="H5" s="131" t="s">
        <v>967</v>
      </c>
      <c r="I5" s="131"/>
      <c r="J5" s="131"/>
      <c r="K5" s="131"/>
      <c r="L5" s="131"/>
      <c r="M5" s="131"/>
      <c r="N5" s="131"/>
    </row>
    <row r="6" spans="1:14">
      <c r="A6" s="2" t="s">
        <v>864</v>
      </c>
      <c r="B6" s="2" t="s">
        <v>863</v>
      </c>
      <c r="G6" s="285" t="s">
        <v>968</v>
      </c>
      <c r="H6" s="131" t="s">
        <v>969</v>
      </c>
      <c r="I6" s="131"/>
      <c r="J6" s="131"/>
      <c r="K6" s="131"/>
      <c r="L6" s="131"/>
      <c r="M6" s="131"/>
      <c r="N6" s="131"/>
    </row>
    <row r="7" spans="1:14">
      <c r="A7" s="2" t="s">
        <v>865</v>
      </c>
      <c r="B7" s="2" t="s">
        <v>866</v>
      </c>
      <c r="G7" s="285" t="s">
        <v>970</v>
      </c>
      <c r="H7" s="131" t="s">
        <v>971</v>
      </c>
      <c r="I7" s="131"/>
      <c r="J7" s="131"/>
      <c r="K7" s="131"/>
      <c r="L7" s="131"/>
      <c r="M7" s="131"/>
      <c r="N7" s="131"/>
    </row>
    <row r="8" spans="1:14">
      <c r="A8" s="2" t="s">
        <v>867</v>
      </c>
      <c r="B8" s="2" t="s">
        <v>868</v>
      </c>
      <c r="G8" s="285" t="s">
        <v>972</v>
      </c>
      <c r="H8" s="131" t="s">
        <v>973</v>
      </c>
      <c r="I8" s="131"/>
      <c r="J8" s="131"/>
      <c r="K8" s="131"/>
      <c r="L8" s="131"/>
      <c r="M8" s="131"/>
      <c r="N8" s="131"/>
    </row>
    <row r="9" spans="1:14">
      <c r="A9" s="2" t="s">
        <v>869</v>
      </c>
      <c r="B9" s="2" t="s">
        <v>870</v>
      </c>
      <c r="G9" s="285" t="s">
        <v>974</v>
      </c>
      <c r="H9" s="131" t="s">
        <v>975</v>
      </c>
      <c r="I9" s="131"/>
      <c r="J9" s="131"/>
      <c r="K9" s="131"/>
      <c r="L9" s="131"/>
      <c r="M9" s="131"/>
      <c r="N9" s="131"/>
    </row>
    <row r="10" spans="1:14">
      <c r="A10" s="2" t="s">
        <v>871</v>
      </c>
      <c r="B10" s="2" t="s">
        <v>872</v>
      </c>
    </row>
    <row r="11" spans="1:14">
      <c r="A11" s="2" t="s">
        <v>873</v>
      </c>
      <c r="B11" s="2" t="s">
        <v>872</v>
      </c>
    </row>
    <row r="12" spans="1:14">
      <c r="A12" s="2" t="s">
        <v>874</v>
      </c>
      <c r="B12" s="2" t="s">
        <v>875</v>
      </c>
    </row>
    <row r="13" spans="1:14">
      <c r="A13" s="2" t="s">
        <v>876</v>
      </c>
      <c r="B13" s="2" t="s">
        <v>877</v>
      </c>
    </row>
    <row r="14" spans="1:14">
      <c r="A14" s="2" t="s">
        <v>878</v>
      </c>
      <c r="B14" s="2" t="s">
        <v>879</v>
      </c>
    </row>
    <row r="15" spans="1:14">
      <c r="A15" s="2" t="s">
        <v>880</v>
      </c>
      <c r="B15" s="2" t="s">
        <v>881</v>
      </c>
    </row>
    <row r="16" spans="1:14">
      <c r="A16" s="2" t="s">
        <v>882</v>
      </c>
      <c r="B16" s="2" t="s">
        <v>883</v>
      </c>
    </row>
    <row r="17" spans="1:2">
      <c r="A17" s="2" t="s">
        <v>884</v>
      </c>
      <c r="B17" s="2" t="s">
        <v>885</v>
      </c>
    </row>
    <row r="18" spans="1:2">
      <c r="A18" s="2" t="s">
        <v>886</v>
      </c>
      <c r="B18" s="2" t="s">
        <v>887</v>
      </c>
    </row>
    <row r="19" spans="1:2">
      <c r="A19" s="2" t="s">
        <v>888</v>
      </c>
      <c r="B19" s="2" t="s">
        <v>889</v>
      </c>
    </row>
    <row r="20" spans="1:2">
      <c r="A20" s="2" t="s">
        <v>890</v>
      </c>
      <c r="B20" s="2" t="s">
        <v>881</v>
      </c>
    </row>
    <row r="21" spans="1:2">
      <c r="A21" s="2" t="s">
        <v>891</v>
      </c>
      <c r="B21" s="2" t="s">
        <v>892</v>
      </c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FB7A-7974-4A30-B80F-708176759FEB}">
  <dimension ref="A1:L24"/>
  <sheetViews>
    <sheetView workbookViewId="0">
      <selection activeCell="I6" sqref="I6"/>
    </sheetView>
  </sheetViews>
  <sheetFormatPr defaultRowHeight="14.5"/>
  <cols>
    <col min="1" max="1" width="44.81640625" customWidth="1"/>
    <col min="2" max="2" width="25.453125" customWidth="1"/>
    <col min="3" max="3" width="12" customWidth="1"/>
    <col min="4" max="4" width="10.7265625" style="323" customWidth="1"/>
    <col min="5" max="5" width="9.1796875" style="301"/>
    <col min="6" max="6" width="10.7265625" style="303" bestFit="1" customWidth="1"/>
    <col min="7" max="7" width="9.1796875" style="302"/>
    <col min="8" max="8" width="9.1796875" style="67"/>
    <col min="9" max="9" width="9.1796875" style="300"/>
    <col min="10" max="10" width="27.453125" style="1" customWidth="1"/>
    <col min="11" max="11" width="38.26953125" style="1" customWidth="1"/>
  </cols>
  <sheetData>
    <row r="1" spans="1:12">
      <c r="D1" s="320"/>
      <c r="F1" s="302"/>
      <c r="H1" s="300"/>
    </row>
    <row r="2" spans="1:12">
      <c r="A2" s="538" t="s">
        <v>49</v>
      </c>
      <c r="B2" s="538" t="s">
        <v>1028</v>
      </c>
      <c r="C2" s="538" t="s">
        <v>493</v>
      </c>
      <c r="D2" s="539" t="s">
        <v>141</v>
      </c>
      <c r="E2" s="539"/>
      <c r="F2" s="540" t="s">
        <v>532</v>
      </c>
      <c r="G2" s="540"/>
      <c r="H2" s="541" t="s">
        <v>139</v>
      </c>
      <c r="I2" s="541"/>
      <c r="J2" s="10"/>
      <c r="K2" s="10"/>
      <c r="L2" s="2"/>
    </row>
    <row r="3" spans="1:12">
      <c r="A3" s="538"/>
      <c r="B3" s="538"/>
      <c r="C3" s="538"/>
      <c r="D3" s="321" t="s">
        <v>1030</v>
      </c>
      <c r="E3" s="304" t="s">
        <v>1031</v>
      </c>
      <c r="F3" s="27" t="s">
        <v>1030</v>
      </c>
      <c r="G3" s="305" t="s">
        <v>1031</v>
      </c>
      <c r="H3" s="307" t="s">
        <v>1030</v>
      </c>
      <c r="I3" s="306" t="s">
        <v>1031</v>
      </c>
      <c r="J3" s="10" t="s">
        <v>1032</v>
      </c>
      <c r="K3" s="10" t="s">
        <v>1033</v>
      </c>
      <c r="L3" s="2" t="s">
        <v>628</v>
      </c>
    </row>
    <row r="4" spans="1:12" ht="64.5" customHeight="1">
      <c r="A4" s="313" t="s">
        <v>1026</v>
      </c>
      <c r="B4" s="313" t="s">
        <v>1027</v>
      </c>
      <c r="C4" s="314" t="s">
        <v>84</v>
      </c>
      <c r="D4" s="326" t="s">
        <v>1041</v>
      </c>
      <c r="E4" s="325">
        <v>4.6180555555555558E-3</v>
      </c>
      <c r="F4" s="318">
        <v>45817</v>
      </c>
      <c r="G4" s="317">
        <v>7.1296296296296299E-3</v>
      </c>
      <c r="H4" s="315"/>
      <c r="I4" s="315"/>
      <c r="J4" s="314" t="s">
        <v>1038</v>
      </c>
      <c r="K4" s="316" t="s">
        <v>1039</v>
      </c>
      <c r="L4" s="2" t="s">
        <v>1034</v>
      </c>
    </row>
    <row r="5" spans="1:12" ht="29">
      <c r="A5" s="308" t="s">
        <v>1035</v>
      </c>
      <c r="B5" s="308" t="s">
        <v>1036</v>
      </c>
      <c r="C5" s="308" t="s">
        <v>84</v>
      </c>
      <c r="D5" s="327" t="s">
        <v>1040</v>
      </c>
      <c r="E5" s="328">
        <v>9.1435185185185178E-3</v>
      </c>
      <c r="F5" s="319">
        <v>45817</v>
      </c>
      <c r="G5" s="324">
        <v>8.3680555555555557E-3</v>
      </c>
      <c r="H5" s="309"/>
      <c r="I5" s="309"/>
      <c r="J5" s="308" t="s">
        <v>1037</v>
      </c>
      <c r="K5" s="308"/>
      <c r="L5" s="2" t="s">
        <v>1034</v>
      </c>
    </row>
    <row r="6" spans="1:12" ht="87">
      <c r="A6" s="308" t="s">
        <v>1500</v>
      </c>
      <c r="B6" s="308" t="s">
        <v>1501</v>
      </c>
      <c r="C6" s="308" t="s">
        <v>84</v>
      </c>
      <c r="D6" s="410">
        <v>45920</v>
      </c>
      <c r="E6" s="328">
        <v>3.1365740740740742E-3</v>
      </c>
      <c r="F6" s="319">
        <v>45916</v>
      </c>
      <c r="G6" s="324">
        <v>3.8194444444444443E-3</v>
      </c>
      <c r="H6" s="309"/>
      <c r="I6" s="309"/>
      <c r="J6" s="411" t="s">
        <v>1503</v>
      </c>
      <c r="K6" s="411" t="s">
        <v>1502</v>
      </c>
      <c r="L6" s="2" t="s">
        <v>326</v>
      </c>
    </row>
    <row r="7" spans="1:12">
      <c r="A7" s="288"/>
      <c r="B7" s="288"/>
      <c r="C7" s="288"/>
      <c r="D7" s="322"/>
      <c r="E7" s="310"/>
      <c r="F7" s="311"/>
      <c r="G7" s="311"/>
      <c r="H7" s="312"/>
      <c r="I7" s="312"/>
      <c r="J7" s="288"/>
      <c r="K7" s="288"/>
    </row>
    <row r="8" spans="1:12">
      <c r="A8" s="288"/>
      <c r="B8" s="288"/>
      <c r="C8" s="288"/>
      <c r="D8" s="322"/>
      <c r="E8" s="310"/>
      <c r="F8" s="311"/>
      <c r="G8" s="311"/>
      <c r="H8" s="312"/>
      <c r="I8" s="312"/>
      <c r="J8" s="288"/>
      <c r="K8" s="288"/>
    </row>
    <row r="9" spans="1:12">
      <c r="A9" s="288"/>
      <c r="B9" s="288"/>
      <c r="C9" s="288"/>
      <c r="D9" s="322"/>
      <c r="E9" s="310"/>
      <c r="F9" s="311"/>
      <c r="G9" s="311"/>
      <c r="H9" s="312"/>
      <c r="I9" s="312"/>
      <c r="J9" s="288"/>
      <c r="K9" s="288"/>
    </row>
    <row r="10" spans="1:12">
      <c r="A10" s="288"/>
      <c r="B10" s="288"/>
      <c r="C10" s="288"/>
      <c r="D10" s="322"/>
      <c r="E10" s="310"/>
      <c r="F10" s="311"/>
      <c r="G10" s="311"/>
      <c r="H10" s="312"/>
      <c r="I10" s="312"/>
      <c r="J10" s="288"/>
      <c r="K10" s="288"/>
    </row>
    <row r="11" spans="1:12">
      <c r="A11" s="288"/>
      <c r="B11" s="288"/>
      <c r="C11" s="288"/>
      <c r="D11" s="322"/>
      <c r="E11" s="310"/>
      <c r="F11" s="311"/>
      <c r="G11" s="311"/>
      <c r="H11" s="312"/>
      <c r="I11" s="312"/>
      <c r="J11" s="288"/>
      <c r="K11" s="288"/>
    </row>
    <row r="12" spans="1:12">
      <c r="A12" s="288"/>
      <c r="B12" s="288"/>
      <c r="C12" s="288"/>
      <c r="D12" s="322"/>
      <c r="E12" s="310"/>
      <c r="F12" s="311"/>
      <c r="G12" s="311"/>
      <c r="H12" s="312"/>
      <c r="I12" s="312"/>
      <c r="J12" s="288"/>
      <c r="K12" s="288"/>
    </row>
    <row r="13" spans="1:12">
      <c r="A13" s="288"/>
      <c r="B13" s="288"/>
      <c r="C13" s="288"/>
      <c r="D13" s="322"/>
      <c r="E13" s="310"/>
      <c r="F13" s="311"/>
      <c r="G13" s="311"/>
      <c r="H13" s="312"/>
      <c r="I13" s="312"/>
      <c r="J13" s="288"/>
      <c r="K13" s="288"/>
    </row>
    <row r="14" spans="1:12">
      <c r="A14" s="288"/>
      <c r="B14" s="288"/>
      <c r="C14" s="288"/>
      <c r="D14" s="322"/>
      <c r="E14" s="310"/>
      <c r="F14" s="311"/>
      <c r="G14" s="311"/>
      <c r="H14" s="312"/>
      <c r="I14" s="312"/>
      <c r="J14" s="288"/>
      <c r="K14" s="288"/>
    </row>
    <row r="15" spans="1:12">
      <c r="A15" s="288"/>
      <c r="B15" s="288"/>
      <c r="C15" s="288"/>
      <c r="D15" s="322"/>
      <c r="E15" s="310"/>
      <c r="F15" s="311"/>
      <c r="G15" s="311"/>
      <c r="H15" s="312"/>
      <c r="I15" s="312"/>
      <c r="J15" s="288"/>
      <c r="K15" s="288"/>
    </row>
    <row r="16" spans="1:12">
      <c r="A16" s="288"/>
      <c r="B16" s="288"/>
      <c r="C16" s="288"/>
      <c r="D16" s="322"/>
      <c r="E16" s="310"/>
      <c r="F16" s="311"/>
      <c r="G16" s="311"/>
      <c r="H16" s="312"/>
      <c r="I16" s="312"/>
      <c r="J16" s="288"/>
      <c r="K16" s="288"/>
    </row>
    <row r="17" spans="1:11">
      <c r="A17" s="288"/>
      <c r="B17" s="288"/>
      <c r="C17" s="288"/>
      <c r="D17" s="322"/>
      <c r="E17" s="310"/>
      <c r="F17" s="311"/>
      <c r="G17" s="311"/>
      <c r="H17" s="312"/>
      <c r="I17" s="312"/>
      <c r="J17" s="288"/>
      <c r="K17" s="288"/>
    </row>
    <row r="18" spans="1:11">
      <c r="A18" s="288"/>
      <c r="B18" s="288"/>
      <c r="C18" s="288"/>
      <c r="D18" s="322"/>
      <c r="E18" s="310"/>
      <c r="F18" s="311"/>
      <c r="G18" s="311"/>
      <c r="H18" s="312"/>
      <c r="I18" s="312"/>
      <c r="J18" s="288"/>
      <c r="K18" s="288"/>
    </row>
    <row r="19" spans="1:11">
      <c r="A19" s="288"/>
      <c r="B19" s="288"/>
      <c r="C19" s="288"/>
      <c r="D19" s="322"/>
      <c r="E19" s="310"/>
      <c r="F19" s="311"/>
      <c r="G19" s="311"/>
      <c r="H19" s="312"/>
      <c r="I19" s="312"/>
      <c r="J19" s="288"/>
      <c r="K19" s="288"/>
    </row>
    <row r="20" spans="1:11">
      <c r="A20" s="288"/>
      <c r="B20" s="288"/>
      <c r="C20" s="288"/>
      <c r="D20" s="322"/>
      <c r="E20" s="310"/>
      <c r="F20" s="311"/>
      <c r="G20" s="311"/>
      <c r="H20" s="312"/>
      <c r="I20" s="312"/>
      <c r="J20" s="288"/>
      <c r="K20" s="288"/>
    </row>
    <row r="21" spans="1:11">
      <c r="A21" s="288"/>
      <c r="B21" s="288"/>
      <c r="C21" s="288"/>
      <c r="D21" s="322"/>
      <c r="E21" s="310"/>
      <c r="F21" s="311"/>
      <c r="G21" s="311"/>
      <c r="H21" s="312"/>
      <c r="I21" s="312"/>
      <c r="J21" s="288"/>
      <c r="K21" s="288"/>
    </row>
    <row r="22" spans="1:11">
      <c r="A22" s="288"/>
      <c r="B22" s="288"/>
      <c r="C22" s="288"/>
      <c r="D22" s="322"/>
      <c r="E22" s="310"/>
      <c r="F22" s="311"/>
      <c r="G22" s="311"/>
      <c r="H22" s="312"/>
      <c r="I22" s="312"/>
      <c r="J22" s="288"/>
      <c r="K22" s="288"/>
    </row>
    <row r="23" spans="1:11">
      <c r="A23" s="288"/>
      <c r="B23" s="288"/>
      <c r="C23" s="288"/>
      <c r="D23" s="322"/>
      <c r="E23" s="310"/>
      <c r="F23" s="311"/>
      <c r="G23" s="311"/>
      <c r="H23" s="312"/>
      <c r="I23" s="312"/>
      <c r="J23" s="288"/>
      <c r="K23" s="288"/>
    </row>
    <row r="24" spans="1:11">
      <c r="A24" s="288"/>
      <c r="B24" s="288"/>
      <c r="C24" s="288"/>
      <c r="D24" s="322"/>
      <c r="E24" s="310"/>
      <c r="F24" s="311"/>
      <c r="G24" s="311"/>
      <c r="H24" s="312"/>
      <c r="I24" s="312"/>
      <c r="J24" s="288"/>
      <c r="K24" s="288"/>
    </row>
  </sheetData>
  <mergeCells count="6">
    <mergeCell ref="A2:A3"/>
    <mergeCell ref="B2:B3"/>
    <mergeCell ref="D2:E2"/>
    <mergeCell ref="F2:G2"/>
    <mergeCell ref="H2:I2"/>
    <mergeCell ref="C2:C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F80D-01C9-4575-BB78-A064F32FBB95}">
  <sheetPr>
    <tabColor rgb="FF92D050"/>
  </sheetPr>
  <dimension ref="A1:AB87"/>
  <sheetViews>
    <sheetView zoomScale="85" zoomScaleNormal="85" workbookViewId="0">
      <pane ySplit="2" topLeftCell="A3" activePane="bottomLeft" state="frozen"/>
      <selection pane="bottomLeft" activeCell="Z19" sqref="Z19"/>
    </sheetView>
  </sheetViews>
  <sheetFormatPr defaultRowHeight="14.5"/>
  <cols>
    <col min="1" max="1" width="4.26953125" customWidth="1"/>
    <col min="2" max="2" width="22.7265625" bestFit="1" customWidth="1"/>
    <col min="3" max="3" width="4.81640625" customWidth="1"/>
    <col min="4" max="4" width="3.7265625" bestFit="1" customWidth="1"/>
    <col min="5" max="5" width="5.1796875" customWidth="1"/>
    <col min="6" max="6" width="21.81640625" bestFit="1" customWidth="1"/>
    <col min="7" max="7" width="4.81640625" bestFit="1" customWidth="1"/>
    <col min="10" max="10" width="10.54296875" customWidth="1"/>
    <col min="11" max="11" width="43" bestFit="1" customWidth="1"/>
    <col min="12" max="12" width="10.7265625" customWidth="1"/>
    <col min="13" max="13" width="48.26953125" bestFit="1" customWidth="1"/>
    <col min="14" max="14" width="1.54296875" customWidth="1"/>
    <col min="15" max="15" width="1.81640625" customWidth="1"/>
    <col min="16" max="16" width="2.81640625" bestFit="1" customWidth="1"/>
    <col min="17" max="17" width="16.7265625" customWidth="1"/>
    <col min="18" max="18" width="13.54296875" bestFit="1" customWidth="1"/>
    <col min="19" max="19" width="14.1796875" bestFit="1" customWidth="1"/>
    <col min="20" max="20" width="13.54296875" bestFit="1" customWidth="1"/>
    <col min="21" max="21" width="3.26953125" customWidth="1"/>
    <col min="22" max="22" width="2.7265625" customWidth="1"/>
  </cols>
  <sheetData>
    <row r="1" spans="1:28">
      <c r="J1" s="382" t="s">
        <v>1170</v>
      </c>
      <c r="K1" s="382" t="s">
        <v>1171</v>
      </c>
      <c r="L1" s="131" t="s">
        <v>1474</v>
      </c>
      <c r="M1" s="131"/>
    </row>
    <row r="2" spans="1:28" ht="15" thickBot="1">
      <c r="B2" s="378" t="s">
        <v>1126</v>
      </c>
      <c r="C2" s="378" t="s">
        <v>1127</v>
      </c>
      <c r="D2" s="378" t="s">
        <v>493</v>
      </c>
      <c r="E2" s="378" t="s">
        <v>1128</v>
      </c>
      <c r="F2" s="378" t="s">
        <v>1129</v>
      </c>
      <c r="G2" s="378" t="s">
        <v>366</v>
      </c>
      <c r="H2" s="544" t="s">
        <v>139</v>
      </c>
      <c r="I2" s="545"/>
      <c r="J2" s="546" t="s">
        <v>477</v>
      </c>
      <c r="K2" s="547"/>
      <c r="L2" s="548" t="s">
        <v>141</v>
      </c>
      <c r="M2" s="549"/>
      <c r="Q2" s="182">
        <v>45964</v>
      </c>
    </row>
    <row r="3" spans="1:28" ht="15" thickBot="1">
      <c r="A3">
        <v>1</v>
      </c>
      <c r="B3" s="379" t="s">
        <v>1130</v>
      </c>
      <c r="C3" s="379">
        <v>1</v>
      </c>
      <c r="D3" s="379" t="s">
        <v>1131</v>
      </c>
      <c r="E3" s="379" t="s">
        <v>1132</v>
      </c>
      <c r="F3" s="379" t="s">
        <v>1133</v>
      </c>
      <c r="G3" s="379" t="s">
        <v>1132</v>
      </c>
      <c r="H3" s="379"/>
      <c r="I3" s="542"/>
      <c r="J3" s="543"/>
      <c r="K3" s="543"/>
      <c r="L3" s="543"/>
      <c r="M3" s="543"/>
      <c r="P3" s="383" t="s">
        <v>1339</v>
      </c>
      <c r="Q3" s="384" t="s">
        <v>1126</v>
      </c>
      <c r="R3" s="384" t="s">
        <v>1341</v>
      </c>
      <c r="S3" s="384" t="s">
        <v>1342</v>
      </c>
      <c r="W3" s="383" t="s">
        <v>1339</v>
      </c>
      <c r="X3" s="384" t="s">
        <v>1126</v>
      </c>
      <c r="Y3" s="384" t="s">
        <v>1341</v>
      </c>
      <c r="Z3" s="384" t="s">
        <v>1340</v>
      </c>
      <c r="AA3" s="384" t="s">
        <v>1341</v>
      </c>
      <c r="AB3" s="384" t="s">
        <v>1342</v>
      </c>
    </row>
    <row r="4" spans="1:28" ht="15" thickBot="1">
      <c r="B4" s="393" t="s">
        <v>355</v>
      </c>
      <c r="C4" s="380"/>
      <c r="D4" s="381"/>
      <c r="E4" s="381"/>
      <c r="F4" s="381"/>
      <c r="G4" s="381"/>
      <c r="H4" s="132"/>
      <c r="I4" s="132"/>
      <c r="J4" s="27" t="s">
        <v>1480</v>
      </c>
      <c r="K4" s="27" t="s">
        <v>1496</v>
      </c>
      <c r="L4" s="377" t="s">
        <v>1479</v>
      </c>
      <c r="M4" s="377" t="s">
        <v>1481</v>
      </c>
      <c r="P4" s="385">
        <v>1</v>
      </c>
      <c r="Q4" s="386" t="s">
        <v>1130</v>
      </c>
      <c r="R4" s="387" t="s">
        <v>1615</v>
      </c>
      <c r="S4" s="387" t="s">
        <v>1524</v>
      </c>
      <c r="W4" s="385">
        <v>1</v>
      </c>
      <c r="X4" s="386" t="s">
        <v>1130</v>
      </c>
      <c r="Y4" s="387" t="s">
        <v>1524</v>
      </c>
      <c r="Z4" s="387" t="s">
        <v>1343</v>
      </c>
      <c r="AA4" s="387" t="s">
        <v>1343</v>
      </c>
      <c r="AB4" s="387" t="s">
        <v>1344</v>
      </c>
    </row>
    <row r="5" spans="1:28" ht="15" thickBot="1">
      <c r="B5" s="393" t="s">
        <v>1359</v>
      </c>
      <c r="C5" s="380"/>
      <c r="D5" s="381"/>
      <c r="E5" s="381"/>
      <c r="F5" s="381"/>
      <c r="G5" s="381"/>
      <c r="H5" s="132"/>
      <c r="I5" s="132"/>
      <c r="J5" s="27" t="s">
        <v>1166</v>
      </c>
      <c r="K5" s="27" t="s">
        <v>1495</v>
      </c>
      <c r="L5" s="377" t="s">
        <v>1172</v>
      </c>
      <c r="M5" s="377" t="s">
        <v>1482</v>
      </c>
      <c r="P5" s="385">
        <v>2</v>
      </c>
      <c r="Q5" s="386" t="s">
        <v>1134</v>
      </c>
      <c r="R5" s="387" t="s">
        <v>1615</v>
      </c>
      <c r="S5" s="387" t="s">
        <v>1524</v>
      </c>
      <c r="W5" s="385">
        <v>2</v>
      </c>
      <c r="X5" s="386" t="s">
        <v>1134</v>
      </c>
      <c r="Y5" s="387" t="s">
        <v>1524</v>
      </c>
      <c r="Z5" s="387" t="s">
        <v>1343</v>
      </c>
      <c r="AA5" s="387" t="s">
        <v>1343</v>
      </c>
      <c r="AB5" s="387" t="s">
        <v>1344</v>
      </c>
    </row>
    <row r="6" spans="1:28" ht="15" thickBot="1">
      <c r="A6">
        <v>2</v>
      </c>
      <c r="B6" s="379" t="s">
        <v>1134</v>
      </c>
      <c r="C6" s="379">
        <v>2</v>
      </c>
      <c r="D6" s="379" t="s">
        <v>1131</v>
      </c>
      <c r="E6" s="379" t="s">
        <v>1132</v>
      </c>
      <c r="F6" s="379" t="s">
        <v>1132</v>
      </c>
      <c r="G6" s="379" t="s">
        <v>1132</v>
      </c>
      <c r="H6" s="379"/>
      <c r="I6" s="542"/>
      <c r="J6" s="543"/>
      <c r="K6" s="543"/>
      <c r="L6" s="543"/>
      <c r="M6" s="543"/>
      <c r="P6" s="385">
        <v>3</v>
      </c>
      <c r="Q6" s="386" t="s">
        <v>1135</v>
      </c>
      <c r="R6" s="387" t="s">
        <v>1615</v>
      </c>
      <c r="S6" s="387" t="s">
        <v>1524</v>
      </c>
      <c r="W6" s="385">
        <v>3</v>
      </c>
      <c r="X6" s="386" t="s">
        <v>1135</v>
      </c>
      <c r="Y6" s="387" t="s">
        <v>1524</v>
      </c>
      <c r="Z6" s="387" t="s">
        <v>1343</v>
      </c>
      <c r="AA6" s="387" t="s">
        <v>1343</v>
      </c>
      <c r="AB6" s="387" t="s">
        <v>1344</v>
      </c>
    </row>
    <row r="7" spans="1:28" ht="15" thickBot="1">
      <c r="B7" s="393" t="s">
        <v>355</v>
      </c>
      <c r="C7" s="380"/>
      <c r="D7" s="381"/>
      <c r="E7" s="381"/>
      <c r="F7" s="381"/>
      <c r="G7" s="381"/>
      <c r="H7" s="132"/>
      <c r="I7" s="132"/>
      <c r="J7" s="27" t="s">
        <v>1480</v>
      </c>
      <c r="K7" s="27" t="s">
        <v>1520</v>
      </c>
      <c r="L7" s="377" t="s">
        <v>1479</v>
      </c>
      <c r="M7" s="377" t="s">
        <v>1483</v>
      </c>
      <c r="P7" s="385">
        <v>4</v>
      </c>
      <c r="Q7" s="386" t="s">
        <v>1136</v>
      </c>
      <c r="R7" s="387" t="s">
        <v>1615</v>
      </c>
      <c r="S7" s="387" t="s">
        <v>1524</v>
      </c>
      <c r="W7" s="385">
        <v>4</v>
      </c>
      <c r="X7" s="386" t="s">
        <v>1136</v>
      </c>
      <c r="Y7" s="387" t="s">
        <v>1524</v>
      </c>
      <c r="Z7" s="387" t="s">
        <v>1343</v>
      </c>
      <c r="AA7" s="387" t="s">
        <v>1343</v>
      </c>
      <c r="AB7" s="387" t="s">
        <v>1344</v>
      </c>
    </row>
    <row r="8" spans="1:28" ht="15" thickBot="1">
      <c r="B8" s="393" t="s">
        <v>1359</v>
      </c>
      <c r="C8" s="380"/>
      <c r="D8" s="381"/>
      <c r="E8" s="381"/>
      <c r="F8" s="381"/>
      <c r="G8" s="381"/>
      <c r="H8" s="132"/>
      <c r="I8" s="132"/>
      <c r="J8" s="27" t="s">
        <v>1166</v>
      </c>
      <c r="K8" s="27" t="s">
        <v>1494</v>
      </c>
      <c r="L8" s="377" t="s">
        <v>1172</v>
      </c>
      <c r="M8" s="377" t="s">
        <v>1484</v>
      </c>
      <c r="P8" s="385">
        <v>5</v>
      </c>
      <c r="Q8" s="386" t="s">
        <v>1137</v>
      </c>
      <c r="R8" s="387" t="s">
        <v>1615</v>
      </c>
      <c r="S8" s="387" t="s">
        <v>1524</v>
      </c>
      <c r="W8" s="385"/>
      <c r="X8" s="387" t="s">
        <v>1345</v>
      </c>
      <c r="Y8" s="387" t="s">
        <v>1346</v>
      </c>
      <c r="Z8" s="387" t="s">
        <v>1346</v>
      </c>
      <c r="AA8" s="387" t="s">
        <v>1346</v>
      </c>
      <c r="AB8" s="387" t="s">
        <v>1346</v>
      </c>
    </row>
    <row r="9" spans="1:28" ht="15" thickBot="1">
      <c r="A9">
        <v>3</v>
      </c>
      <c r="B9" s="379" t="s">
        <v>1135</v>
      </c>
      <c r="C9" s="379">
        <v>3</v>
      </c>
      <c r="D9" s="379" t="s">
        <v>1131</v>
      </c>
      <c r="E9" s="379" t="s">
        <v>1132</v>
      </c>
      <c r="F9" s="379" t="s">
        <v>1132</v>
      </c>
      <c r="G9" s="379" t="s">
        <v>1132</v>
      </c>
      <c r="H9" s="379"/>
      <c r="I9" s="542"/>
      <c r="J9" s="543"/>
      <c r="K9" s="543"/>
      <c r="L9" s="543"/>
      <c r="M9" s="543"/>
      <c r="P9" s="385">
        <v>6</v>
      </c>
      <c r="Q9" s="386" t="s">
        <v>1138</v>
      </c>
      <c r="R9" s="387" t="s">
        <v>1615</v>
      </c>
      <c r="S9" s="387"/>
      <c r="W9" s="385"/>
      <c r="X9" s="387" t="s">
        <v>1347</v>
      </c>
      <c r="Y9" s="387" t="s">
        <v>1348</v>
      </c>
      <c r="Z9" s="388" t="s">
        <v>1349</v>
      </c>
      <c r="AA9" s="387" t="s">
        <v>1350</v>
      </c>
      <c r="AB9" s="387"/>
    </row>
    <row r="10" spans="1:28" ht="15" thickBot="1">
      <c r="B10" s="393" t="s">
        <v>355</v>
      </c>
      <c r="C10" s="380"/>
      <c r="D10" s="381"/>
      <c r="E10" s="381"/>
      <c r="F10" s="381"/>
      <c r="G10" s="381"/>
      <c r="H10" s="132"/>
      <c r="I10" s="132"/>
      <c r="J10" s="27" t="s">
        <v>1480</v>
      </c>
      <c r="K10" s="27" t="s">
        <v>1493</v>
      </c>
      <c r="L10" s="377" t="s">
        <v>1479</v>
      </c>
      <c r="M10" s="377" t="s">
        <v>1485</v>
      </c>
      <c r="P10" s="385">
        <v>7</v>
      </c>
      <c r="Q10" s="386" t="s">
        <v>1139</v>
      </c>
      <c r="R10" s="387" t="s">
        <v>1615</v>
      </c>
      <c r="S10" s="387"/>
      <c r="W10" s="385"/>
      <c r="X10" s="387"/>
      <c r="Y10" s="387"/>
      <c r="Z10" s="387"/>
      <c r="AA10" s="387"/>
      <c r="AB10" s="387"/>
    </row>
    <row r="11" spans="1:28" ht="15" thickBot="1">
      <c r="B11" s="393" t="s">
        <v>1359</v>
      </c>
      <c r="C11" s="380"/>
      <c r="D11" s="381"/>
      <c r="E11" s="381"/>
      <c r="F11" s="381"/>
      <c r="G11" s="381"/>
      <c r="H11" s="132"/>
      <c r="I11" s="132"/>
      <c r="J11" s="27"/>
      <c r="K11" s="27"/>
      <c r="L11" s="377" t="s">
        <v>1172</v>
      </c>
      <c r="M11" s="377"/>
      <c r="P11" s="385">
        <v>8</v>
      </c>
      <c r="Q11" s="386" t="s">
        <v>1140</v>
      </c>
      <c r="R11" s="387" t="s">
        <v>1615</v>
      </c>
      <c r="S11" s="387" t="s">
        <v>1524</v>
      </c>
      <c r="W11" s="385"/>
      <c r="X11" s="387" t="s">
        <v>1351</v>
      </c>
      <c r="Y11" s="387" t="s">
        <v>1352</v>
      </c>
      <c r="Z11" s="387"/>
      <c r="AA11" s="389" t="s">
        <v>1352</v>
      </c>
      <c r="AB11" s="387"/>
    </row>
    <row r="12" spans="1:28" ht="15" thickBot="1">
      <c r="A12">
        <v>4</v>
      </c>
      <c r="B12" s="379" t="s">
        <v>1136</v>
      </c>
      <c r="C12" s="379">
        <v>4</v>
      </c>
      <c r="D12" s="379" t="s">
        <v>1131</v>
      </c>
      <c r="E12" s="379" t="s">
        <v>1132</v>
      </c>
      <c r="F12" s="379" t="s">
        <v>1132</v>
      </c>
      <c r="G12" s="379" t="s">
        <v>1132</v>
      </c>
      <c r="H12" s="542"/>
      <c r="I12" s="543"/>
      <c r="J12" s="543"/>
      <c r="K12" s="543"/>
      <c r="L12" s="543"/>
      <c r="M12" s="550"/>
      <c r="P12" s="385">
        <v>9</v>
      </c>
      <c r="Q12" s="386" t="s">
        <v>383</v>
      </c>
      <c r="R12" s="387" t="s">
        <v>1615</v>
      </c>
      <c r="S12" s="387"/>
      <c r="W12" s="385"/>
      <c r="X12" s="387"/>
      <c r="Y12" s="387"/>
      <c r="Z12" s="387"/>
      <c r="AA12" s="387"/>
      <c r="AB12" s="387"/>
    </row>
    <row r="13" spans="1:28" ht="15" thickBot="1">
      <c r="B13" s="393" t="s">
        <v>355</v>
      </c>
      <c r="C13" s="380"/>
      <c r="D13" s="381"/>
      <c r="E13" s="381"/>
      <c r="F13" s="381"/>
      <c r="G13" s="381"/>
      <c r="H13" s="132"/>
      <c r="I13" s="132"/>
      <c r="J13" s="27" t="s">
        <v>1480</v>
      </c>
      <c r="K13" s="27" t="s">
        <v>1492</v>
      </c>
      <c r="L13" s="377" t="s">
        <v>1479</v>
      </c>
      <c r="M13" s="377" t="s">
        <v>1486</v>
      </c>
      <c r="P13" s="385">
        <v>10</v>
      </c>
      <c r="Q13" s="386" t="s">
        <v>1141</v>
      </c>
      <c r="R13" s="387" t="s">
        <v>1615</v>
      </c>
      <c r="S13" s="387"/>
      <c r="W13" s="385"/>
      <c r="X13" s="390" t="s">
        <v>52</v>
      </c>
      <c r="Y13" s="391"/>
      <c r="Z13" s="391"/>
      <c r="AA13" s="391"/>
      <c r="AB13" s="391"/>
    </row>
    <row r="14" spans="1:28" ht="15" thickBot="1">
      <c r="B14" s="393" t="s">
        <v>1359</v>
      </c>
      <c r="C14" s="380"/>
      <c r="D14" s="381"/>
      <c r="E14" s="381"/>
      <c r="F14" s="381"/>
      <c r="G14" s="381"/>
      <c r="H14" s="132"/>
      <c r="I14" s="132"/>
      <c r="J14" s="27" t="s">
        <v>1168</v>
      </c>
      <c r="K14" s="27" t="s">
        <v>1491</v>
      </c>
      <c r="L14" s="377" t="s">
        <v>1172</v>
      </c>
      <c r="M14" s="377" t="s">
        <v>1487</v>
      </c>
      <c r="P14" s="385">
        <v>11</v>
      </c>
      <c r="Q14" s="386" t="s">
        <v>1142</v>
      </c>
      <c r="R14" s="387"/>
      <c r="S14" s="387"/>
      <c r="W14" s="385"/>
      <c r="X14" s="387" t="s">
        <v>1353</v>
      </c>
      <c r="Y14" s="387" t="s">
        <v>1354</v>
      </c>
      <c r="Z14" s="387" t="s">
        <v>1355</v>
      </c>
      <c r="AA14" s="387"/>
      <c r="AB14" s="387"/>
    </row>
    <row r="15" spans="1:28" ht="15" thickBot="1">
      <c r="A15">
        <v>5</v>
      </c>
      <c r="B15" s="379" t="s">
        <v>1137</v>
      </c>
      <c r="C15" s="379">
        <v>5</v>
      </c>
      <c r="D15" s="379" t="s">
        <v>1131</v>
      </c>
      <c r="E15" s="379" t="s">
        <v>1132</v>
      </c>
      <c r="F15" s="379" t="s">
        <v>1131</v>
      </c>
      <c r="G15" s="379" t="s">
        <v>1132</v>
      </c>
      <c r="H15" s="379"/>
      <c r="I15" s="542"/>
      <c r="J15" s="543"/>
      <c r="K15" s="543"/>
      <c r="L15" s="543"/>
      <c r="M15" s="543"/>
      <c r="P15" s="385">
        <v>12</v>
      </c>
      <c r="Q15" s="386" t="s">
        <v>1143</v>
      </c>
      <c r="R15" s="387"/>
      <c r="S15" s="387"/>
      <c r="W15" s="385">
        <v>22</v>
      </c>
      <c r="X15" s="386" t="s">
        <v>1153</v>
      </c>
      <c r="Y15" s="387" t="s">
        <v>1356</v>
      </c>
      <c r="Z15" s="387" t="s">
        <v>1356</v>
      </c>
      <c r="AA15" s="387"/>
      <c r="AB15" s="387"/>
    </row>
    <row r="16" spans="1:28" ht="15" thickBot="1">
      <c r="B16" s="393" t="s">
        <v>355</v>
      </c>
      <c r="C16" s="380"/>
      <c r="D16" s="381"/>
      <c r="E16" s="381"/>
      <c r="F16" s="381"/>
      <c r="G16" s="381"/>
      <c r="H16" s="132"/>
      <c r="I16" s="132"/>
      <c r="J16" s="27" t="s">
        <v>1480</v>
      </c>
      <c r="K16" s="27" t="s">
        <v>1490</v>
      </c>
      <c r="L16" s="377" t="s">
        <v>1479</v>
      </c>
      <c r="M16" s="377" t="s">
        <v>1488</v>
      </c>
      <c r="P16" s="385">
        <v>13</v>
      </c>
      <c r="Q16" s="386" t="s">
        <v>1144</v>
      </c>
      <c r="R16" s="387" t="s">
        <v>1615</v>
      </c>
      <c r="S16" s="387" t="s">
        <v>1524</v>
      </c>
    </row>
    <row r="17" spans="1:19" ht="15" thickBot="1">
      <c r="B17" s="393" t="s">
        <v>1359</v>
      </c>
      <c r="C17" s="380"/>
      <c r="D17" s="381"/>
      <c r="E17" s="381"/>
      <c r="F17" s="381" t="s">
        <v>1409</v>
      </c>
      <c r="G17" s="381"/>
      <c r="H17" s="132"/>
      <c r="I17" s="132"/>
      <c r="J17" s="27"/>
      <c r="K17" s="27"/>
      <c r="L17" s="377" t="s">
        <v>1172</v>
      </c>
      <c r="M17" s="377"/>
      <c r="P17" s="385">
        <v>14</v>
      </c>
      <c r="Q17" s="386" t="s">
        <v>1145</v>
      </c>
      <c r="R17" s="387" t="s">
        <v>1615</v>
      </c>
      <c r="S17" s="387"/>
    </row>
    <row r="18" spans="1:19" ht="15" thickBot="1">
      <c r="A18">
        <v>6</v>
      </c>
      <c r="B18" s="379" t="s">
        <v>1138</v>
      </c>
      <c r="C18" s="379">
        <v>6</v>
      </c>
      <c r="D18" s="379" t="s">
        <v>1131</v>
      </c>
      <c r="E18" s="379" t="s">
        <v>1131</v>
      </c>
      <c r="F18" s="379" t="s">
        <v>1131</v>
      </c>
      <c r="G18" s="379" t="s">
        <v>1132</v>
      </c>
      <c r="H18" s="379"/>
      <c r="I18" s="542"/>
      <c r="J18" s="543"/>
      <c r="K18" s="543"/>
      <c r="L18" s="543"/>
      <c r="M18" s="543"/>
      <c r="P18" s="385">
        <v>15</v>
      </c>
      <c r="Q18" s="386" t="s">
        <v>1146</v>
      </c>
      <c r="R18" s="387" t="s">
        <v>1615</v>
      </c>
      <c r="S18" s="387"/>
    </row>
    <row r="19" spans="1:19" ht="15" thickBot="1">
      <c r="B19" s="393" t="s">
        <v>355</v>
      </c>
      <c r="C19" s="380"/>
      <c r="D19" s="381"/>
      <c r="E19" s="381"/>
      <c r="F19" s="381"/>
      <c r="G19" s="381"/>
      <c r="H19" s="132"/>
      <c r="I19" s="132"/>
      <c r="J19" s="27" t="s">
        <v>1480</v>
      </c>
      <c r="K19" s="27" t="s">
        <v>1489</v>
      </c>
      <c r="L19" s="377"/>
      <c r="M19" s="377"/>
      <c r="P19" s="385">
        <v>16</v>
      </c>
      <c r="Q19" s="386" t="s">
        <v>1147</v>
      </c>
      <c r="R19" s="387" t="s">
        <v>1615</v>
      </c>
      <c r="S19" s="387" t="s">
        <v>1524</v>
      </c>
    </row>
    <row r="20" spans="1:19" ht="15" thickBot="1">
      <c r="B20" s="393" t="s">
        <v>1359</v>
      </c>
      <c r="C20" s="380"/>
      <c r="D20" s="381"/>
      <c r="E20" s="381"/>
      <c r="F20" s="381"/>
      <c r="G20" s="381"/>
      <c r="H20" s="132"/>
      <c r="I20" s="132"/>
      <c r="J20" s="27"/>
      <c r="K20" s="27"/>
      <c r="L20" s="377" t="s">
        <v>1172</v>
      </c>
      <c r="M20" s="377"/>
      <c r="P20" s="385">
        <v>17</v>
      </c>
      <c r="Q20" s="386" t="s">
        <v>1148</v>
      </c>
      <c r="R20" s="387" t="s">
        <v>1615</v>
      </c>
      <c r="S20" s="387"/>
    </row>
    <row r="21" spans="1:19" ht="15" thickBot="1">
      <c r="A21">
        <v>7</v>
      </c>
      <c r="B21" s="379" t="s">
        <v>1139</v>
      </c>
      <c r="C21" s="379">
        <v>6</v>
      </c>
      <c r="D21" s="379" t="s">
        <v>1131</v>
      </c>
      <c r="E21" s="379" t="s">
        <v>1132</v>
      </c>
      <c r="F21" s="379" t="s">
        <v>1131</v>
      </c>
      <c r="G21" s="379" t="s">
        <v>1132</v>
      </c>
      <c r="H21" s="379"/>
      <c r="I21" s="542"/>
      <c r="J21" s="543"/>
      <c r="K21" s="543"/>
      <c r="L21" s="543"/>
      <c r="M21" s="543"/>
      <c r="P21" s="385">
        <v>18</v>
      </c>
      <c r="Q21" s="386" t="s">
        <v>1149</v>
      </c>
      <c r="R21" s="387"/>
      <c r="S21" s="387"/>
    </row>
    <row r="22" spans="1:19" ht="15" thickBot="1">
      <c r="B22" s="393" t="s">
        <v>355</v>
      </c>
      <c r="C22" s="380"/>
      <c r="D22" s="381"/>
      <c r="E22" s="381"/>
      <c r="F22" s="381"/>
      <c r="G22" s="381"/>
      <c r="H22" s="132"/>
      <c r="I22" s="132"/>
      <c r="J22" s="27" t="s">
        <v>1480</v>
      </c>
      <c r="K22" s="27" t="s">
        <v>1504</v>
      </c>
      <c r="L22" s="377"/>
      <c r="M22" s="377"/>
      <c r="P22" s="385">
        <v>19</v>
      </c>
      <c r="Q22" s="386" t="s">
        <v>1150</v>
      </c>
      <c r="R22" s="387" t="s">
        <v>1615</v>
      </c>
      <c r="S22" s="387"/>
    </row>
    <row r="23" spans="1:19" ht="15" thickBot="1">
      <c r="B23" s="393" t="s">
        <v>1359</v>
      </c>
      <c r="C23" s="380"/>
      <c r="D23" s="381"/>
      <c r="E23" s="381"/>
      <c r="F23" s="381"/>
      <c r="G23" s="381"/>
      <c r="H23" s="132"/>
      <c r="I23" s="132"/>
      <c r="J23" s="27"/>
      <c r="K23" s="27"/>
      <c r="L23" s="377" t="s">
        <v>1172</v>
      </c>
      <c r="M23" s="377"/>
      <c r="P23" s="385">
        <v>20</v>
      </c>
      <c r="Q23" s="386" t="s">
        <v>1151</v>
      </c>
      <c r="R23" s="387"/>
      <c r="S23" s="387"/>
    </row>
    <row r="24" spans="1:19" ht="15" thickBot="1">
      <c r="A24">
        <v>8</v>
      </c>
      <c r="B24" s="379" t="s">
        <v>1140</v>
      </c>
      <c r="C24" s="379">
        <v>6</v>
      </c>
      <c r="D24" s="379" t="s">
        <v>1131</v>
      </c>
      <c r="E24" s="379" t="s">
        <v>1132</v>
      </c>
      <c r="F24" s="379" t="s">
        <v>1131</v>
      </c>
      <c r="G24" s="379" t="s">
        <v>1132</v>
      </c>
      <c r="H24" s="379"/>
      <c r="I24" s="542"/>
      <c r="J24" s="543"/>
      <c r="K24" s="543"/>
      <c r="L24" s="543"/>
      <c r="M24" s="543"/>
      <c r="P24" s="385">
        <v>21</v>
      </c>
      <c r="Q24" s="386" t="s">
        <v>1152</v>
      </c>
      <c r="R24" s="387"/>
      <c r="S24" s="387"/>
    </row>
    <row r="25" spans="1:19" ht="15" thickBot="1">
      <c r="B25" s="393" t="s">
        <v>355</v>
      </c>
      <c r="C25" s="380"/>
      <c r="D25" s="381"/>
      <c r="E25" s="381"/>
      <c r="F25" s="381"/>
      <c r="G25" s="381"/>
      <c r="H25" s="132"/>
      <c r="I25" s="132"/>
      <c r="J25" s="27" t="s">
        <v>1480</v>
      </c>
      <c r="K25" s="27" t="s">
        <v>1505</v>
      </c>
      <c r="L25" s="424">
        <v>45928</v>
      </c>
      <c r="M25" s="377" t="s">
        <v>1530</v>
      </c>
      <c r="P25" s="385">
        <v>22</v>
      </c>
      <c r="Q25" s="386" t="s">
        <v>1153</v>
      </c>
      <c r="R25" s="387" t="s">
        <v>1615</v>
      </c>
      <c r="S25" s="387"/>
    </row>
    <row r="26" spans="1:19" ht="15" thickBot="1">
      <c r="B26" s="393" t="s">
        <v>1359</v>
      </c>
      <c r="C26" s="380"/>
      <c r="D26" s="381"/>
      <c r="E26" s="381"/>
      <c r="F26" s="381"/>
      <c r="G26" s="381"/>
      <c r="H26" s="132"/>
      <c r="I26" s="132"/>
      <c r="J26" s="27"/>
      <c r="K26" s="27"/>
      <c r="L26" s="377" t="s">
        <v>1172</v>
      </c>
      <c r="M26" s="377"/>
      <c r="P26" s="385">
        <v>23</v>
      </c>
      <c r="Q26" s="386" t="s">
        <v>1154</v>
      </c>
      <c r="R26" s="387" t="s">
        <v>1615</v>
      </c>
      <c r="S26" s="387"/>
    </row>
    <row r="27" spans="1:19" ht="13" customHeight="1" thickBot="1">
      <c r="A27">
        <v>9</v>
      </c>
      <c r="B27" s="379" t="s">
        <v>383</v>
      </c>
      <c r="C27" s="379">
        <v>7</v>
      </c>
      <c r="D27" s="379" t="s">
        <v>1131</v>
      </c>
      <c r="E27" s="379" t="s">
        <v>1131</v>
      </c>
      <c r="F27" s="379" t="s">
        <v>1132</v>
      </c>
      <c r="G27" s="379" t="s">
        <v>1132</v>
      </c>
      <c r="H27" s="379"/>
      <c r="I27" s="542"/>
      <c r="J27" s="543"/>
      <c r="K27" s="543"/>
      <c r="L27" s="543"/>
      <c r="M27" s="543"/>
      <c r="P27" s="385">
        <v>24</v>
      </c>
      <c r="Q27" s="386" t="s">
        <v>1155</v>
      </c>
      <c r="R27" s="387"/>
      <c r="S27" s="387"/>
    </row>
    <row r="28" spans="1:19" ht="15" thickBot="1">
      <c r="B28" s="393" t="s">
        <v>355</v>
      </c>
      <c r="C28" s="380"/>
      <c r="D28" s="381"/>
      <c r="E28" s="381"/>
      <c r="F28" s="381"/>
      <c r="G28" s="381"/>
      <c r="H28" s="132"/>
      <c r="I28" s="132"/>
      <c r="J28" s="27"/>
      <c r="K28" s="27"/>
      <c r="L28" s="377"/>
      <c r="M28" s="377"/>
      <c r="P28" s="385">
        <v>25</v>
      </c>
      <c r="Q28" s="386" t="s">
        <v>1156</v>
      </c>
      <c r="R28" s="387"/>
      <c r="S28" s="387"/>
    </row>
    <row r="29" spans="1:19" ht="15" thickBot="1">
      <c r="B29" s="393" t="s">
        <v>1359</v>
      </c>
      <c r="C29" s="380"/>
      <c r="D29" s="381"/>
      <c r="E29" s="381"/>
      <c r="F29" s="381"/>
      <c r="G29" s="381"/>
      <c r="H29" s="132"/>
      <c r="I29" s="132"/>
      <c r="J29" s="27"/>
      <c r="K29" s="27"/>
      <c r="L29" s="377" t="s">
        <v>1172</v>
      </c>
      <c r="M29" s="377"/>
      <c r="P29" s="385"/>
      <c r="Q29" s="386"/>
      <c r="R29" s="387"/>
      <c r="S29" s="387"/>
    </row>
    <row r="30" spans="1:19" ht="13" customHeight="1" thickBot="1">
      <c r="A30">
        <v>10</v>
      </c>
      <c r="B30" s="379" t="s">
        <v>1141</v>
      </c>
      <c r="C30" s="379">
        <v>7</v>
      </c>
      <c r="D30" s="379" t="s">
        <v>1131</v>
      </c>
      <c r="E30" s="379" t="s">
        <v>1131</v>
      </c>
      <c r="F30" s="379" t="s">
        <v>1131</v>
      </c>
      <c r="G30" s="379" t="s">
        <v>1132</v>
      </c>
      <c r="H30" s="379"/>
      <c r="I30" s="542"/>
      <c r="J30" s="543"/>
      <c r="K30" s="543"/>
      <c r="L30" s="543"/>
      <c r="M30" s="543"/>
      <c r="P30" s="385"/>
      <c r="Q30" s="387" t="s">
        <v>1345</v>
      </c>
      <c r="R30" s="387" t="s">
        <v>1615</v>
      </c>
      <c r="S30" s="387" t="s">
        <v>1524</v>
      </c>
    </row>
    <row r="31" spans="1:19" ht="15" thickBot="1">
      <c r="B31" s="393" t="s">
        <v>355</v>
      </c>
      <c r="C31" s="380"/>
      <c r="D31" s="381"/>
      <c r="E31" s="381"/>
      <c r="F31" s="381"/>
      <c r="G31" s="381"/>
      <c r="H31" s="132"/>
      <c r="I31" s="132"/>
      <c r="J31" s="27" t="s">
        <v>1480</v>
      </c>
      <c r="K31" s="27" t="s">
        <v>1526</v>
      </c>
      <c r="L31" s="377"/>
      <c r="M31" s="377"/>
      <c r="P31" s="385"/>
      <c r="Q31" s="387" t="s">
        <v>1347</v>
      </c>
      <c r="R31" s="387"/>
      <c r="S31" s="387"/>
    </row>
    <row r="32" spans="1:19" ht="15" thickBot="1">
      <c r="B32" s="393" t="s">
        <v>1359</v>
      </c>
      <c r="C32" s="380"/>
      <c r="D32" s="381"/>
      <c r="E32" s="381"/>
      <c r="F32" s="381"/>
      <c r="G32" s="381"/>
      <c r="H32" s="132"/>
      <c r="I32" s="132"/>
      <c r="J32" s="27"/>
      <c r="K32" s="27"/>
      <c r="L32" s="377" t="s">
        <v>1172</v>
      </c>
      <c r="M32" s="377"/>
      <c r="P32" s="385"/>
      <c r="Q32" s="387"/>
      <c r="R32" s="387"/>
      <c r="S32" s="387"/>
    </row>
    <row r="33" spans="1:19" ht="15" thickBot="1">
      <c r="A33">
        <v>11</v>
      </c>
      <c r="B33" s="379" t="s">
        <v>1142</v>
      </c>
      <c r="C33" s="379">
        <v>7</v>
      </c>
      <c r="D33" s="379" t="s">
        <v>1131</v>
      </c>
      <c r="E33" s="379" t="s">
        <v>1132</v>
      </c>
      <c r="F33" s="379" t="s">
        <v>1132</v>
      </c>
      <c r="G33" s="379" t="s">
        <v>1132</v>
      </c>
      <c r="H33" s="379"/>
      <c r="I33" s="542"/>
      <c r="J33" s="543"/>
      <c r="K33" s="543"/>
      <c r="L33" s="543"/>
      <c r="M33" s="543"/>
      <c r="P33" s="385"/>
      <c r="Q33" s="387" t="s">
        <v>1616</v>
      </c>
      <c r="R33" s="387" t="s">
        <v>1615</v>
      </c>
      <c r="S33" s="387"/>
    </row>
    <row r="34" spans="1:19" ht="15" thickBot="1">
      <c r="B34" s="393" t="s">
        <v>355</v>
      </c>
      <c r="C34" s="380"/>
      <c r="D34" s="381"/>
      <c r="E34" s="381"/>
      <c r="F34" s="381"/>
      <c r="G34" s="381"/>
      <c r="H34" s="132"/>
      <c r="I34" s="132"/>
      <c r="J34" s="27" t="s">
        <v>1480</v>
      </c>
      <c r="K34" s="27"/>
      <c r="L34" s="377"/>
      <c r="M34" s="377"/>
      <c r="P34" s="385"/>
      <c r="Q34" s="387"/>
      <c r="R34" s="387"/>
      <c r="S34" s="387"/>
    </row>
    <row r="35" spans="1:19">
      <c r="B35" s="393" t="s">
        <v>1359</v>
      </c>
      <c r="C35" s="380"/>
      <c r="D35" s="381"/>
      <c r="E35" s="381"/>
      <c r="F35" s="381"/>
      <c r="G35" s="381"/>
      <c r="H35" s="132"/>
      <c r="I35" s="132"/>
      <c r="J35" s="27"/>
      <c r="K35" s="27"/>
      <c r="L35" s="377" t="s">
        <v>1172</v>
      </c>
      <c r="M35" s="377"/>
    </row>
    <row r="36" spans="1:19">
      <c r="A36">
        <v>12</v>
      </c>
      <c r="B36" s="379" t="s">
        <v>1143</v>
      </c>
      <c r="C36" s="379">
        <v>8</v>
      </c>
      <c r="D36" s="379" t="s">
        <v>1131</v>
      </c>
      <c r="E36" s="379" t="s">
        <v>1131</v>
      </c>
      <c r="F36" s="379" t="s">
        <v>1131</v>
      </c>
      <c r="G36" s="379" t="s">
        <v>1132</v>
      </c>
      <c r="H36" s="379"/>
      <c r="I36" s="542"/>
      <c r="J36" s="543"/>
      <c r="K36" s="543"/>
      <c r="L36" s="543"/>
      <c r="M36" s="543"/>
    </row>
    <row r="37" spans="1:19">
      <c r="B37" s="393" t="s">
        <v>355</v>
      </c>
      <c r="C37" s="380"/>
      <c r="D37" s="381"/>
      <c r="E37" s="381"/>
      <c r="F37" s="381"/>
      <c r="G37" s="381"/>
      <c r="H37" s="132"/>
      <c r="I37" s="132"/>
      <c r="J37" s="27" t="s">
        <v>1480</v>
      </c>
      <c r="K37" s="27"/>
      <c r="L37" s="377"/>
      <c r="M37" s="377"/>
    </row>
    <row r="38" spans="1:19">
      <c r="B38" s="393" t="s">
        <v>1359</v>
      </c>
      <c r="C38" s="380"/>
      <c r="D38" s="381"/>
      <c r="E38" s="381"/>
      <c r="F38" s="381"/>
      <c r="G38" s="381"/>
      <c r="H38" s="132"/>
      <c r="I38" s="132"/>
      <c r="J38" s="27"/>
      <c r="K38" s="27"/>
      <c r="L38" s="377" t="s">
        <v>1172</v>
      </c>
      <c r="M38" s="377"/>
    </row>
    <row r="39" spans="1:19">
      <c r="A39">
        <v>13</v>
      </c>
      <c r="B39" s="379" t="s">
        <v>1144</v>
      </c>
      <c r="C39" s="379">
        <v>8</v>
      </c>
      <c r="D39" s="379" t="s">
        <v>1131</v>
      </c>
      <c r="E39" s="379" t="s">
        <v>1132</v>
      </c>
      <c r="F39" s="379" t="s">
        <v>1132</v>
      </c>
      <c r="G39" s="379" t="s">
        <v>1132</v>
      </c>
      <c r="H39" s="379"/>
      <c r="I39" s="542"/>
      <c r="J39" s="543"/>
      <c r="K39" s="543"/>
      <c r="L39" s="543"/>
      <c r="M39" s="543"/>
    </row>
    <row r="40" spans="1:19">
      <c r="B40" s="393" t="s">
        <v>355</v>
      </c>
      <c r="C40" s="380"/>
      <c r="D40" s="381"/>
      <c r="E40" s="381"/>
      <c r="F40" s="381"/>
      <c r="G40" s="381"/>
      <c r="H40" s="132"/>
      <c r="I40" s="132"/>
      <c r="J40" s="27" t="s">
        <v>1615</v>
      </c>
      <c r="K40" s="27" t="s">
        <v>1525</v>
      </c>
      <c r="L40" s="377" t="s">
        <v>1524</v>
      </c>
      <c r="M40" s="377" t="s">
        <v>1528</v>
      </c>
    </row>
    <row r="41" spans="1:19">
      <c r="B41" s="393" t="s">
        <v>1359</v>
      </c>
      <c r="C41" s="380"/>
      <c r="D41" s="381"/>
      <c r="E41" s="381"/>
      <c r="F41" s="381"/>
      <c r="G41" s="381"/>
      <c r="H41" s="132"/>
      <c r="I41" s="132"/>
      <c r="J41" s="27"/>
      <c r="K41" s="27"/>
      <c r="L41" s="377" t="s">
        <v>1172</v>
      </c>
      <c r="M41" s="377"/>
    </row>
    <row r="42" spans="1:19">
      <c r="A42">
        <v>14</v>
      </c>
      <c r="B42" s="379" t="s">
        <v>1145</v>
      </c>
      <c r="C42" s="379">
        <v>8</v>
      </c>
      <c r="D42" s="379" t="s">
        <v>1131</v>
      </c>
      <c r="E42" s="379" t="s">
        <v>1132</v>
      </c>
      <c r="F42" s="379" t="s">
        <v>1132</v>
      </c>
      <c r="G42" s="379" t="s">
        <v>1132</v>
      </c>
      <c r="H42" s="379"/>
      <c r="I42" s="542"/>
      <c r="J42" s="543"/>
      <c r="K42" s="543"/>
      <c r="L42" s="543"/>
      <c r="M42" s="543"/>
    </row>
    <row r="43" spans="1:19">
      <c r="B43" s="393" t="s">
        <v>355</v>
      </c>
      <c r="C43" s="380"/>
      <c r="D43" s="381"/>
      <c r="E43" s="381"/>
      <c r="F43" s="381"/>
      <c r="G43" s="381"/>
      <c r="H43" s="132"/>
      <c r="I43" s="132"/>
      <c r="J43" s="27" t="s">
        <v>1480</v>
      </c>
      <c r="K43" s="27"/>
      <c r="L43" s="377"/>
      <c r="M43" s="377"/>
    </row>
    <row r="44" spans="1:19">
      <c r="B44" s="393" t="s">
        <v>1359</v>
      </c>
      <c r="C44" s="380"/>
      <c r="D44" s="381"/>
      <c r="E44" s="381"/>
      <c r="F44" s="381"/>
      <c r="G44" s="381"/>
      <c r="H44" s="132"/>
      <c r="I44" s="132"/>
      <c r="J44" s="27"/>
      <c r="K44" s="27"/>
      <c r="L44" s="377" t="s">
        <v>1172</v>
      </c>
      <c r="M44" s="377"/>
    </row>
    <row r="45" spans="1:19">
      <c r="A45">
        <v>15</v>
      </c>
      <c r="B45" s="379" t="s">
        <v>1146</v>
      </c>
      <c r="C45" s="379">
        <v>9</v>
      </c>
      <c r="D45" s="379" t="s">
        <v>1131</v>
      </c>
      <c r="E45" s="379" t="s">
        <v>1131</v>
      </c>
      <c r="F45" s="379" t="s">
        <v>1131</v>
      </c>
      <c r="G45" s="379" t="s">
        <v>1132</v>
      </c>
      <c r="H45" s="379"/>
      <c r="I45" s="542"/>
      <c r="J45" s="543"/>
      <c r="K45" s="543"/>
      <c r="L45" s="543"/>
      <c r="M45" s="543"/>
    </row>
    <row r="46" spans="1:19">
      <c r="B46" s="393" t="s">
        <v>355</v>
      </c>
      <c r="C46" s="380"/>
      <c r="D46" s="381"/>
      <c r="E46" s="381"/>
      <c r="F46" s="381"/>
      <c r="G46" s="381"/>
      <c r="H46" s="132"/>
      <c r="I46" s="132"/>
      <c r="J46" s="187">
        <v>45925</v>
      </c>
      <c r="K46" s="27" t="s">
        <v>1514</v>
      </c>
      <c r="L46" s="377"/>
      <c r="M46" s="377"/>
    </row>
    <row r="47" spans="1:19">
      <c r="B47" s="393" t="s">
        <v>1359</v>
      </c>
      <c r="C47" s="380"/>
      <c r="D47" s="381"/>
      <c r="E47" s="381"/>
      <c r="F47" s="381"/>
      <c r="G47" s="381"/>
      <c r="H47" s="132"/>
      <c r="I47" s="132"/>
      <c r="J47" s="27"/>
      <c r="K47" s="27"/>
      <c r="L47" s="377" t="s">
        <v>1172</v>
      </c>
      <c r="M47" s="377"/>
    </row>
    <row r="48" spans="1:19">
      <c r="A48">
        <v>16</v>
      </c>
      <c r="B48" s="379" t="s">
        <v>1147</v>
      </c>
      <c r="C48" s="379">
        <v>9</v>
      </c>
      <c r="D48" s="379" t="s">
        <v>1131</v>
      </c>
      <c r="E48" s="379" t="s">
        <v>1132</v>
      </c>
      <c r="F48" s="379" t="s">
        <v>1132</v>
      </c>
      <c r="G48" s="379" t="s">
        <v>1132</v>
      </c>
      <c r="H48" s="379"/>
      <c r="I48" s="542"/>
      <c r="J48" s="543"/>
      <c r="K48" s="543"/>
      <c r="L48" s="543"/>
      <c r="M48" s="543"/>
    </row>
    <row r="49" spans="1:13">
      <c r="B49" s="393" t="s">
        <v>355</v>
      </c>
      <c r="C49" s="380"/>
      <c r="D49" s="381"/>
      <c r="E49" s="381"/>
      <c r="F49" s="381"/>
      <c r="G49" s="381"/>
      <c r="H49" s="132"/>
      <c r="I49" s="132"/>
      <c r="J49" s="187">
        <v>45925</v>
      </c>
      <c r="K49" s="27" t="s">
        <v>1515</v>
      </c>
      <c r="L49" s="424">
        <v>45928</v>
      </c>
      <c r="M49" s="377" t="s">
        <v>1529</v>
      </c>
    </row>
    <row r="50" spans="1:13">
      <c r="B50" s="393" t="s">
        <v>1359</v>
      </c>
      <c r="C50" s="380"/>
      <c r="D50" s="381"/>
      <c r="E50" s="381"/>
      <c r="F50" s="381"/>
      <c r="G50" s="381"/>
      <c r="H50" s="132"/>
      <c r="I50" s="132"/>
      <c r="J50" s="27"/>
      <c r="K50" s="27"/>
      <c r="L50" s="377" t="s">
        <v>1172</v>
      </c>
      <c r="M50" s="377"/>
    </row>
    <row r="51" spans="1:13">
      <c r="A51">
        <v>17</v>
      </c>
      <c r="B51" s="379" t="s">
        <v>1148</v>
      </c>
      <c r="C51" s="379">
        <v>9</v>
      </c>
      <c r="D51" s="379" t="s">
        <v>1131</v>
      </c>
      <c r="E51" s="379" t="s">
        <v>1131</v>
      </c>
      <c r="F51" s="379" t="s">
        <v>1131</v>
      </c>
      <c r="G51" s="379" t="s">
        <v>1132</v>
      </c>
      <c r="H51" s="379"/>
      <c r="I51" s="542"/>
      <c r="J51" s="543"/>
      <c r="K51" s="543"/>
      <c r="L51" s="543"/>
      <c r="M51" s="543"/>
    </row>
    <row r="52" spans="1:13">
      <c r="B52" s="393" t="s">
        <v>355</v>
      </c>
      <c r="C52" s="380"/>
      <c r="D52" s="381"/>
      <c r="E52" s="381"/>
      <c r="F52" s="381"/>
      <c r="G52" s="381"/>
      <c r="H52" s="132"/>
      <c r="I52" s="132"/>
      <c r="J52" s="187">
        <v>45925</v>
      </c>
      <c r="K52" s="27" t="s">
        <v>1527</v>
      </c>
      <c r="L52" s="377"/>
      <c r="M52" s="377"/>
    </row>
    <row r="53" spans="1:13">
      <c r="B53" s="393" t="s">
        <v>1359</v>
      </c>
      <c r="C53" s="380"/>
      <c r="D53" s="381"/>
      <c r="E53" s="381"/>
      <c r="F53" s="381"/>
      <c r="G53" s="381"/>
      <c r="H53" s="132"/>
      <c r="I53" s="132"/>
      <c r="J53" s="27"/>
      <c r="K53" s="27"/>
      <c r="L53" s="377" t="s">
        <v>1172</v>
      </c>
      <c r="M53" s="377"/>
    </row>
    <row r="54" spans="1:13">
      <c r="A54">
        <v>18</v>
      </c>
      <c r="B54" s="379" t="s">
        <v>1149</v>
      </c>
      <c r="C54" s="379">
        <v>10</v>
      </c>
      <c r="D54" s="379" t="s">
        <v>1131</v>
      </c>
      <c r="E54" s="379" t="s">
        <v>1131</v>
      </c>
      <c r="F54" s="379" t="s">
        <v>1131</v>
      </c>
      <c r="G54" s="379" t="s">
        <v>1132</v>
      </c>
      <c r="H54" s="379"/>
      <c r="I54" s="542"/>
      <c r="J54" s="543"/>
      <c r="K54" s="543"/>
      <c r="L54" s="543"/>
      <c r="M54" s="543"/>
    </row>
    <row r="55" spans="1:13">
      <c r="B55" s="393" t="s">
        <v>355</v>
      </c>
      <c r="C55" s="380"/>
      <c r="D55" s="381"/>
      <c r="E55" s="381"/>
      <c r="F55" s="381"/>
      <c r="G55" s="381"/>
      <c r="H55" s="132"/>
      <c r="I55" s="132"/>
      <c r="J55" s="27" t="s">
        <v>1480</v>
      </c>
      <c r="K55" s="27"/>
      <c r="L55" s="377"/>
      <c r="M55" s="377"/>
    </row>
    <row r="56" spans="1:13">
      <c r="B56" s="393" t="s">
        <v>1359</v>
      </c>
      <c r="C56" s="380"/>
      <c r="D56" s="381"/>
      <c r="E56" s="381"/>
      <c r="F56" s="381"/>
      <c r="G56" s="381"/>
      <c r="H56" s="132"/>
      <c r="I56" s="132"/>
      <c r="J56" s="27"/>
      <c r="K56" s="27"/>
      <c r="L56" s="377" t="s">
        <v>1172</v>
      </c>
      <c r="M56" s="377"/>
    </row>
    <row r="57" spans="1:13">
      <c r="A57">
        <v>19</v>
      </c>
      <c r="B57" s="379" t="s">
        <v>1150</v>
      </c>
      <c r="C57" s="379">
        <v>10</v>
      </c>
      <c r="D57" s="379" t="s">
        <v>1131</v>
      </c>
      <c r="E57" s="379" t="s">
        <v>1131</v>
      </c>
      <c r="F57" s="379" t="s">
        <v>1131</v>
      </c>
      <c r="G57" s="379" t="s">
        <v>1132</v>
      </c>
      <c r="H57" s="379"/>
      <c r="I57" s="542"/>
      <c r="J57" s="543"/>
      <c r="K57" s="543"/>
      <c r="L57" s="543"/>
      <c r="M57" s="543"/>
    </row>
    <row r="58" spans="1:13">
      <c r="B58" s="393" t="s">
        <v>355</v>
      </c>
      <c r="C58" s="380"/>
      <c r="D58" s="381"/>
      <c r="E58" s="381"/>
      <c r="F58" s="381"/>
      <c r="G58" s="381"/>
      <c r="H58" s="132"/>
      <c r="I58" s="132"/>
      <c r="J58" s="27" t="s">
        <v>1480</v>
      </c>
      <c r="K58" s="27"/>
      <c r="L58" s="377"/>
      <c r="M58" s="377"/>
    </row>
    <row r="59" spans="1:13">
      <c r="B59" s="393" t="s">
        <v>1359</v>
      </c>
      <c r="C59" s="380"/>
      <c r="D59" s="381"/>
      <c r="E59" s="381"/>
      <c r="F59" s="381"/>
      <c r="G59" s="381"/>
      <c r="H59" s="132"/>
      <c r="I59" s="132"/>
      <c r="J59" s="27"/>
      <c r="K59" s="27"/>
      <c r="L59" s="377" t="s">
        <v>1172</v>
      </c>
      <c r="M59" s="377"/>
    </row>
    <row r="60" spans="1:13">
      <c r="A60">
        <v>20</v>
      </c>
      <c r="B60" s="379" t="s">
        <v>1151</v>
      </c>
      <c r="C60" s="379">
        <v>10</v>
      </c>
      <c r="D60" s="379" t="s">
        <v>1131</v>
      </c>
      <c r="E60" s="379" t="s">
        <v>1132</v>
      </c>
      <c r="F60" s="379" t="s">
        <v>1132</v>
      </c>
      <c r="G60" s="379" t="s">
        <v>1132</v>
      </c>
      <c r="H60" s="379"/>
      <c r="I60" s="542"/>
      <c r="J60" s="543"/>
      <c r="K60" s="543"/>
      <c r="L60" s="543"/>
      <c r="M60" s="543"/>
    </row>
    <row r="61" spans="1:13">
      <c r="B61" s="393" t="s">
        <v>355</v>
      </c>
      <c r="C61" s="380"/>
      <c r="D61" s="381"/>
      <c r="E61" s="381"/>
      <c r="F61" s="381"/>
      <c r="G61" s="381"/>
      <c r="H61" s="132"/>
      <c r="I61" s="132"/>
      <c r="J61" s="27" t="s">
        <v>1480</v>
      </c>
      <c r="K61" s="27"/>
      <c r="L61" s="377"/>
      <c r="M61" s="377"/>
    </row>
    <row r="62" spans="1:13">
      <c r="B62" s="393" t="s">
        <v>1359</v>
      </c>
      <c r="C62" s="380"/>
      <c r="D62" s="381"/>
      <c r="E62" s="381"/>
      <c r="F62" s="381"/>
      <c r="G62" s="381"/>
      <c r="H62" s="132"/>
      <c r="I62" s="132"/>
      <c r="J62" s="27"/>
      <c r="K62" s="27"/>
      <c r="L62" s="377" t="s">
        <v>1172</v>
      </c>
      <c r="M62" s="377"/>
    </row>
    <row r="63" spans="1:13">
      <c r="A63">
        <v>21</v>
      </c>
      <c r="B63" s="379" t="s">
        <v>1152</v>
      </c>
      <c r="C63" s="379"/>
      <c r="D63" s="379" t="s">
        <v>1131</v>
      </c>
      <c r="E63" s="379" t="s">
        <v>1131</v>
      </c>
      <c r="F63" s="379" t="s">
        <v>1131</v>
      </c>
      <c r="G63" s="379" t="s">
        <v>1131</v>
      </c>
      <c r="H63" s="379"/>
      <c r="I63" s="542"/>
      <c r="J63" s="543"/>
      <c r="K63" s="543"/>
      <c r="L63" s="543"/>
      <c r="M63" s="543"/>
    </row>
    <row r="64" spans="1:13">
      <c r="B64" s="393" t="s">
        <v>355</v>
      </c>
      <c r="C64" s="380"/>
      <c r="D64" s="381"/>
      <c r="E64" s="381"/>
      <c r="F64" s="381"/>
      <c r="G64" s="381"/>
      <c r="H64" s="132"/>
      <c r="I64" s="132"/>
      <c r="J64" s="27" t="s">
        <v>1480</v>
      </c>
      <c r="K64" s="27"/>
      <c r="L64" s="377"/>
      <c r="M64" s="377"/>
    </row>
    <row r="65" spans="1:14">
      <c r="B65" s="393" t="s">
        <v>1359</v>
      </c>
      <c r="C65" s="380"/>
      <c r="D65" s="381"/>
      <c r="E65" s="381"/>
      <c r="F65" s="381"/>
      <c r="G65" s="381"/>
      <c r="H65" s="132"/>
      <c r="I65" s="132"/>
      <c r="J65" s="27"/>
      <c r="K65" s="27"/>
      <c r="L65" s="377" t="s">
        <v>1172</v>
      </c>
      <c r="M65" s="377"/>
    </row>
    <row r="66" spans="1:14">
      <c r="A66">
        <v>22</v>
      </c>
      <c r="B66" s="379" t="s">
        <v>1153</v>
      </c>
      <c r="C66" s="379"/>
      <c r="D66" s="379" t="s">
        <v>1131</v>
      </c>
      <c r="E66" s="379" t="s">
        <v>1131</v>
      </c>
      <c r="F66" s="379" t="s">
        <v>1131</v>
      </c>
      <c r="G66" s="379" t="s">
        <v>1131</v>
      </c>
      <c r="H66" s="379"/>
      <c r="I66" s="542"/>
      <c r="J66" s="543"/>
      <c r="K66" s="543"/>
      <c r="L66" s="543"/>
      <c r="M66" s="543"/>
    </row>
    <row r="67" spans="1:14">
      <c r="B67" s="393" t="s">
        <v>355</v>
      </c>
      <c r="C67" s="380"/>
      <c r="D67" s="381"/>
      <c r="E67" s="381"/>
      <c r="F67" s="381"/>
      <c r="G67" s="381"/>
      <c r="H67" s="132"/>
      <c r="I67" s="132"/>
      <c r="J67" s="27" t="s">
        <v>1480</v>
      </c>
      <c r="K67" s="27"/>
      <c r="L67" s="377"/>
      <c r="M67" s="377"/>
    </row>
    <row r="68" spans="1:14">
      <c r="B68" s="393" t="s">
        <v>1359</v>
      </c>
      <c r="C68" s="380"/>
      <c r="D68" s="381"/>
      <c r="E68" s="381"/>
      <c r="F68" s="381"/>
      <c r="G68" s="381"/>
      <c r="H68" s="132"/>
      <c r="I68" s="132"/>
      <c r="J68" s="27"/>
      <c r="K68" s="27"/>
      <c r="L68" s="377" t="s">
        <v>1172</v>
      </c>
      <c r="M68" s="377"/>
    </row>
    <row r="69" spans="1:14">
      <c r="A69">
        <v>23</v>
      </c>
      <c r="B69" s="379" t="s">
        <v>1154</v>
      </c>
      <c r="C69" s="379"/>
      <c r="D69" s="379" t="s">
        <v>1131</v>
      </c>
      <c r="E69" s="379" t="s">
        <v>1131</v>
      </c>
      <c r="F69" s="379" t="s">
        <v>1131</v>
      </c>
      <c r="G69" s="379" t="s">
        <v>1131</v>
      </c>
      <c r="H69" s="379"/>
      <c r="I69" s="542"/>
      <c r="J69" s="543"/>
      <c r="K69" s="543"/>
      <c r="L69" s="543"/>
      <c r="M69" s="543"/>
    </row>
    <row r="70" spans="1:14">
      <c r="B70" s="393" t="s">
        <v>355</v>
      </c>
      <c r="C70" s="380"/>
      <c r="D70" s="381"/>
      <c r="E70" s="381"/>
      <c r="F70" s="381"/>
      <c r="G70" s="381"/>
      <c r="H70" s="132"/>
      <c r="I70" s="132"/>
      <c r="J70" s="27" t="s">
        <v>1480</v>
      </c>
      <c r="K70" s="27"/>
      <c r="L70" s="377"/>
      <c r="M70" s="377"/>
    </row>
    <row r="71" spans="1:14">
      <c r="B71" s="393" t="s">
        <v>1359</v>
      </c>
      <c r="C71" s="380"/>
      <c r="D71" s="381"/>
      <c r="E71" s="381"/>
      <c r="F71" s="381"/>
      <c r="G71" s="381"/>
      <c r="H71" s="132"/>
      <c r="I71" s="132"/>
      <c r="J71" s="27"/>
      <c r="K71" s="27"/>
      <c r="L71" s="377" t="s">
        <v>1172</v>
      </c>
      <c r="M71" s="377"/>
    </row>
    <row r="72" spans="1:14">
      <c r="A72">
        <v>24</v>
      </c>
      <c r="B72" s="379" t="s">
        <v>1155</v>
      </c>
      <c r="C72" s="379"/>
      <c r="D72" s="379" t="s">
        <v>1131</v>
      </c>
      <c r="E72" s="379" t="s">
        <v>1131</v>
      </c>
      <c r="F72" s="379" t="s">
        <v>1131</v>
      </c>
      <c r="G72" s="379" t="s">
        <v>1131</v>
      </c>
      <c r="H72" s="379"/>
      <c r="I72" s="542"/>
      <c r="J72" s="543"/>
      <c r="K72" s="543"/>
      <c r="L72" s="543"/>
      <c r="M72" s="543"/>
    </row>
    <row r="73" spans="1:14">
      <c r="B73" s="393" t="s">
        <v>355</v>
      </c>
      <c r="C73" s="380"/>
      <c r="D73" s="381"/>
      <c r="E73" s="381"/>
      <c r="F73" s="381"/>
      <c r="G73" s="381"/>
      <c r="H73" s="132"/>
      <c r="I73" s="132"/>
      <c r="J73" s="27" t="s">
        <v>1480</v>
      </c>
      <c r="K73" s="27"/>
      <c r="L73" s="377"/>
      <c r="M73" s="377"/>
    </row>
    <row r="74" spans="1:14">
      <c r="B74" s="393" t="s">
        <v>1359</v>
      </c>
      <c r="C74" s="380"/>
      <c r="D74" s="381"/>
      <c r="E74" s="381"/>
      <c r="F74" s="381"/>
      <c r="G74" s="381"/>
      <c r="H74" s="132"/>
      <c r="I74" s="132"/>
      <c r="J74" s="27"/>
      <c r="K74" s="27"/>
      <c r="L74" s="377" t="s">
        <v>1172</v>
      </c>
      <c r="M74" s="377"/>
    </row>
    <row r="75" spans="1:14">
      <c r="A75">
        <v>25</v>
      </c>
      <c r="B75" s="379" t="s">
        <v>1156</v>
      </c>
      <c r="C75" s="379"/>
      <c r="D75" s="379" t="s">
        <v>1131</v>
      </c>
      <c r="E75" s="379"/>
      <c r="F75" s="379"/>
      <c r="G75" s="379"/>
      <c r="H75" s="379"/>
      <c r="I75" s="542"/>
      <c r="J75" s="543"/>
      <c r="K75" s="543"/>
      <c r="L75" s="543"/>
      <c r="M75" s="543"/>
    </row>
    <row r="76" spans="1:14">
      <c r="B76" s="393" t="s">
        <v>355</v>
      </c>
      <c r="C76" s="380"/>
      <c r="D76" s="381"/>
      <c r="E76" s="381"/>
      <c r="F76" s="381"/>
      <c r="G76" s="381"/>
      <c r="H76" s="132"/>
      <c r="I76" s="132"/>
      <c r="J76" s="27" t="s">
        <v>1480</v>
      </c>
      <c r="K76" s="27"/>
      <c r="L76" s="377"/>
      <c r="M76" s="377"/>
    </row>
    <row r="77" spans="1:14">
      <c r="B77" s="393" t="s">
        <v>1359</v>
      </c>
      <c r="C77" s="380"/>
      <c r="D77" s="381"/>
      <c r="E77" s="381"/>
      <c r="F77" s="381"/>
      <c r="G77" s="381"/>
      <c r="H77" s="132"/>
      <c r="I77" s="132"/>
      <c r="J77" s="27"/>
      <c r="K77" s="27"/>
      <c r="L77" s="377"/>
      <c r="M77" s="377"/>
    </row>
    <row r="80" spans="1:14">
      <c r="B80" s="392" t="s">
        <v>1169</v>
      </c>
      <c r="C80" s="2" t="s">
        <v>52</v>
      </c>
      <c r="D80" s="2"/>
      <c r="E80" s="2"/>
      <c r="F80" s="2"/>
      <c r="G80" s="2"/>
      <c r="H80" s="2"/>
      <c r="I80" s="2"/>
      <c r="J80" s="27" t="s">
        <v>1167</v>
      </c>
      <c r="K80" s="27" t="s">
        <v>1516</v>
      </c>
      <c r="L80" s="377"/>
      <c r="M80" s="377" t="s">
        <v>1497</v>
      </c>
      <c r="N80" t="s">
        <v>1358</v>
      </c>
    </row>
    <row r="81" spans="2:14">
      <c r="B81" s="392"/>
      <c r="C81" s="2"/>
      <c r="D81" s="2"/>
      <c r="E81" s="2"/>
      <c r="F81" s="2"/>
      <c r="G81" s="2"/>
      <c r="H81" s="2"/>
      <c r="I81" s="2"/>
      <c r="J81" s="27"/>
      <c r="K81" s="27"/>
      <c r="L81" s="377"/>
      <c r="M81" s="377"/>
    </row>
    <row r="82" spans="2:14">
      <c r="B82" s="392" t="s">
        <v>1153</v>
      </c>
      <c r="C82" s="2" t="s">
        <v>52</v>
      </c>
      <c r="D82" s="2"/>
      <c r="E82" s="2"/>
      <c r="F82" s="2"/>
      <c r="G82" s="2"/>
      <c r="H82" s="2"/>
      <c r="I82" s="2"/>
      <c r="J82" s="27" t="s">
        <v>1361</v>
      </c>
      <c r="K82" s="27" t="s">
        <v>1517</v>
      </c>
      <c r="L82" s="377"/>
      <c r="M82" s="377" t="s">
        <v>1519</v>
      </c>
      <c r="N82" t="s">
        <v>52</v>
      </c>
    </row>
    <row r="83" spans="2:14">
      <c r="B83" s="381" t="s">
        <v>1345</v>
      </c>
      <c r="C83" s="2"/>
      <c r="D83" s="2"/>
      <c r="E83" s="2"/>
      <c r="F83" s="2"/>
      <c r="G83" s="2"/>
      <c r="H83" s="2"/>
      <c r="I83" s="2"/>
      <c r="J83" s="27"/>
      <c r="K83" s="27" t="s">
        <v>1499</v>
      </c>
      <c r="L83" s="377"/>
      <c r="M83" s="377" t="s">
        <v>1499</v>
      </c>
      <c r="N83" t="s">
        <v>1360</v>
      </c>
    </row>
    <row r="84" spans="2:14">
      <c r="B84" s="381"/>
      <c r="C84" s="2"/>
      <c r="D84" s="2"/>
      <c r="E84" s="2"/>
      <c r="F84" s="2"/>
      <c r="G84" s="2"/>
      <c r="H84" s="2"/>
      <c r="I84" s="2"/>
      <c r="J84" s="27"/>
      <c r="K84" s="27" t="s">
        <v>1499</v>
      </c>
      <c r="L84" s="377"/>
      <c r="M84" s="377" t="s">
        <v>1499</v>
      </c>
    </row>
    <row r="85" spans="2:14">
      <c r="B85" s="381" t="s">
        <v>1347</v>
      </c>
      <c r="C85" s="2"/>
      <c r="D85" s="2"/>
      <c r="E85" s="2"/>
      <c r="F85" s="2"/>
      <c r="G85" s="2"/>
      <c r="H85" s="2"/>
      <c r="I85" s="2"/>
      <c r="J85" s="27"/>
      <c r="K85" s="27"/>
      <c r="L85" s="377"/>
      <c r="M85" s="377"/>
    </row>
    <row r="86" spans="2:14">
      <c r="B86" s="381" t="s">
        <v>1351</v>
      </c>
      <c r="C86" s="2"/>
      <c r="D86" s="2"/>
      <c r="E86" s="2"/>
      <c r="F86" s="2"/>
      <c r="G86" s="2"/>
      <c r="H86" s="2"/>
      <c r="I86" s="2"/>
      <c r="J86" s="27" t="s">
        <v>1480</v>
      </c>
      <c r="K86" s="27" t="s">
        <v>1518</v>
      </c>
      <c r="L86" s="377"/>
      <c r="M86" s="377"/>
      <c r="N86" t="s">
        <v>1357</v>
      </c>
    </row>
    <row r="87" spans="2:14">
      <c r="K87" s="27" t="s">
        <v>1498</v>
      </c>
    </row>
  </sheetData>
  <autoFilter ref="A2:U77" xr:uid="{112EF80D-01C9-4575-BB78-A064F32FBB95}">
    <filterColumn colId="7" showButton="0"/>
    <filterColumn colId="9" showButton="0"/>
    <filterColumn colId="11" showButton="0"/>
  </autoFilter>
  <mergeCells count="28">
    <mergeCell ref="I63:M63"/>
    <mergeCell ref="I66:M66"/>
    <mergeCell ref="I69:M69"/>
    <mergeCell ref="I72:M72"/>
    <mergeCell ref="I75:M75"/>
    <mergeCell ref="I60:M60"/>
    <mergeCell ref="I27:M27"/>
    <mergeCell ref="I30:M30"/>
    <mergeCell ref="I33:M33"/>
    <mergeCell ref="I36:M36"/>
    <mergeCell ref="I39:M39"/>
    <mergeCell ref="I42:M42"/>
    <mergeCell ref="I45:M45"/>
    <mergeCell ref="I48:M48"/>
    <mergeCell ref="I51:M51"/>
    <mergeCell ref="I54:M54"/>
    <mergeCell ref="I57:M57"/>
    <mergeCell ref="I15:M15"/>
    <mergeCell ref="I18:M18"/>
    <mergeCell ref="I21:M21"/>
    <mergeCell ref="I24:M24"/>
    <mergeCell ref="H2:I2"/>
    <mergeCell ref="J2:K2"/>
    <mergeCell ref="L2:M2"/>
    <mergeCell ref="H12:M12"/>
    <mergeCell ref="I9:M9"/>
    <mergeCell ref="I6:M6"/>
    <mergeCell ref="I3:M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5FC6-DF05-498E-A441-2FAC9F53C7F4}">
  <sheetPr>
    <tabColor theme="9" tint="-0.249977111117893"/>
  </sheetPr>
  <dimension ref="A1:M70"/>
  <sheetViews>
    <sheetView topLeftCell="A11" workbookViewId="0">
      <selection activeCell="C23" sqref="C23"/>
    </sheetView>
  </sheetViews>
  <sheetFormatPr defaultRowHeight="14.5"/>
  <cols>
    <col min="1" max="1" width="6" customWidth="1"/>
    <col min="2" max="2" width="32" customWidth="1"/>
    <col min="3" max="3" width="52.26953125" customWidth="1"/>
    <col min="4" max="4" width="8.453125" style="1" customWidth="1"/>
    <col min="5" max="5" width="10.453125" style="1" customWidth="1"/>
    <col min="6" max="6" width="35.81640625" customWidth="1"/>
    <col min="7" max="7" width="26.26953125" style="156" customWidth="1"/>
    <col min="8" max="9" width="10.7265625" customWidth="1"/>
    <col min="10" max="10" width="10.81640625" style="200" customWidth="1"/>
    <col min="11" max="11" width="14" customWidth="1"/>
    <col min="12" max="12" width="55" customWidth="1"/>
    <col min="13" max="13" width="66.54296875" customWidth="1"/>
    <col min="14" max="17" width="10.7265625" customWidth="1"/>
  </cols>
  <sheetData>
    <row r="1" spans="1:13" ht="15" thickBot="1">
      <c r="A1" s="241"/>
      <c r="B1" s="240"/>
      <c r="C1" s="241"/>
      <c r="D1" s="242"/>
      <c r="E1" s="242"/>
      <c r="F1" s="241"/>
      <c r="G1" s="252"/>
      <c r="H1" s="559" t="s">
        <v>660</v>
      </c>
      <c r="I1" s="560"/>
      <c r="J1" s="561"/>
      <c r="K1" s="7"/>
    </row>
    <row r="2" spans="1:13" ht="15" thickBot="1">
      <c r="A2" s="244"/>
      <c r="B2" s="244" t="s">
        <v>656</v>
      </c>
      <c r="C2" s="244" t="s">
        <v>657</v>
      </c>
      <c r="D2" s="244" t="s">
        <v>659</v>
      </c>
      <c r="E2" s="244" t="s">
        <v>493</v>
      </c>
      <c r="F2" s="244" t="s">
        <v>663</v>
      </c>
      <c r="G2" s="253" t="s">
        <v>662</v>
      </c>
      <c r="H2" s="244" t="s">
        <v>139</v>
      </c>
      <c r="I2" s="244" t="s">
        <v>658</v>
      </c>
      <c r="J2" s="254" t="s">
        <v>141</v>
      </c>
      <c r="K2" s="244" t="s">
        <v>692</v>
      </c>
      <c r="L2" s="243" t="s">
        <v>485</v>
      </c>
      <c r="M2" s="243" t="s">
        <v>661</v>
      </c>
    </row>
    <row r="3" spans="1:13">
      <c r="A3">
        <v>1</v>
      </c>
      <c r="B3" t="s">
        <v>666</v>
      </c>
      <c r="C3" t="s">
        <v>664</v>
      </c>
      <c r="D3" s="1" t="s">
        <v>665</v>
      </c>
      <c r="E3" s="1" t="s">
        <v>599</v>
      </c>
      <c r="F3" t="s">
        <v>253</v>
      </c>
      <c r="G3" s="156" t="s">
        <v>253</v>
      </c>
      <c r="I3" s="182">
        <v>45655</v>
      </c>
      <c r="L3" t="s">
        <v>668</v>
      </c>
      <c r="M3" t="s">
        <v>667</v>
      </c>
    </row>
    <row r="4" spans="1:13">
      <c r="A4">
        <v>2</v>
      </c>
      <c r="B4" t="s">
        <v>670</v>
      </c>
      <c r="C4" t="s">
        <v>669</v>
      </c>
      <c r="D4" s="1" t="s">
        <v>665</v>
      </c>
      <c r="E4" s="1" t="s">
        <v>599</v>
      </c>
      <c r="F4" t="s">
        <v>253</v>
      </c>
      <c r="G4" s="156" t="s">
        <v>253</v>
      </c>
      <c r="H4" s="182">
        <v>45452</v>
      </c>
      <c r="I4" s="182">
        <v>45452</v>
      </c>
      <c r="L4" t="s">
        <v>671</v>
      </c>
      <c r="M4" t="s">
        <v>672</v>
      </c>
    </row>
    <row r="5" spans="1:13">
      <c r="A5">
        <v>3</v>
      </c>
      <c r="B5" t="s">
        <v>674</v>
      </c>
      <c r="C5" t="s">
        <v>673</v>
      </c>
      <c r="D5" s="1" t="s">
        <v>665</v>
      </c>
      <c r="E5" s="1" t="s">
        <v>599</v>
      </c>
      <c r="F5" t="s">
        <v>253</v>
      </c>
      <c r="G5" s="156" t="s">
        <v>253</v>
      </c>
      <c r="H5" s="182">
        <v>45453</v>
      </c>
      <c r="I5" s="182">
        <v>45453</v>
      </c>
      <c r="L5" t="s">
        <v>675</v>
      </c>
      <c r="M5" t="s">
        <v>676</v>
      </c>
    </row>
    <row r="6" spans="1:13" s="245" customFormat="1" ht="58">
      <c r="A6" s="248">
        <v>4</v>
      </c>
      <c r="B6" s="247" t="s">
        <v>677</v>
      </c>
      <c r="C6" s="247" t="s">
        <v>678</v>
      </c>
      <c r="D6" s="15" t="s">
        <v>665</v>
      </c>
      <c r="E6" s="15" t="s">
        <v>599</v>
      </c>
      <c r="F6" s="247" t="s">
        <v>679</v>
      </c>
      <c r="G6" s="76" t="s">
        <v>680</v>
      </c>
      <c r="H6" s="246">
        <v>45705</v>
      </c>
      <c r="I6" s="246">
        <v>45713</v>
      </c>
      <c r="J6" s="246">
        <v>45714</v>
      </c>
      <c r="K6" s="246" t="s">
        <v>11</v>
      </c>
      <c r="L6" s="245" t="s">
        <v>681</v>
      </c>
      <c r="M6" s="78" t="s">
        <v>682</v>
      </c>
    </row>
    <row r="7" spans="1:13">
      <c r="A7" s="555">
        <v>5</v>
      </c>
      <c r="B7" s="554" t="s">
        <v>683</v>
      </c>
      <c r="C7" t="s">
        <v>684</v>
      </c>
      <c r="D7" s="1" t="s">
        <v>685</v>
      </c>
      <c r="E7" s="1" t="s">
        <v>599</v>
      </c>
      <c r="F7" s="554" t="s">
        <v>689</v>
      </c>
      <c r="G7" s="553" t="s">
        <v>690</v>
      </c>
      <c r="H7" s="558">
        <v>45709</v>
      </c>
      <c r="I7" s="558">
        <v>45714</v>
      </c>
      <c r="J7" s="551"/>
      <c r="K7" s="1"/>
      <c r="L7" s="556" t="s">
        <v>693</v>
      </c>
    </row>
    <row r="8" spans="1:13">
      <c r="A8" s="555"/>
      <c r="B8" s="554"/>
      <c r="C8" t="s">
        <v>686</v>
      </c>
      <c r="D8" s="1" t="s">
        <v>665</v>
      </c>
      <c r="E8" s="1" t="s">
        <v>599</v>
      </c>
      <c r="F8" s="554"/>
      <c r="G8" s="553"/>
      <c r="H8" s="551"/>
      <c r="I8" s="551"/>
      <c r="J8" s="551"/>
      <c r="L8" s="557"/>
    </row>
    <row r="9" spans="1:13">
      <c r="A9" s="555"/>
      <c r="B9" s="554"/>
      <c r="C9" t="s">
        <v>687</v>
      </c>
      <c r="D9" s="1" t="s">
        <v>688</v>
      </c>
      <c r="E9" s="1" t="s">
        <v>599</v>
      </c>
      <c r="F9" s="554"/>
      <c r="G9" s="553"/>
      <c r="H9" s="551"/>
      <c r="I9" s="551"/>
      <c r="J9" s="551"/>
      <c r="L9" s="557"/>
    </row>
    <row r="10" spans="1:13" s="200" customFormat="1" ht="29">
      <c r="A10" s="200">
        <v>6</v>
      </c>
      <c r="B10" s="200" t="s">
        <v>691</v>
      </c>
      <c r="C10" s="200" t="s">
        <v>696</v>
      </c>
      <c r="D10" s="15" t="s">
        <v>665</v>
      </c>
      <c r="E10" s="15" t="s">
        <v>599</v>
      </c>
      <c r="F10" s="200" t="s">
        <v>697</v>
      </c>
      <c r="G10" s="250"/>
      <c r="H10" s="200" t="s">
        <v>698</v>
      </c>
      <c r="J10" s="249"/>
      <c r="K10" s="249"/>
      <c r="L10" s="250" t="s">
        <v>699</v>
      </c>
    </row>
    <row r="11" spans="1:13">
      <c r="A11">
        <v>7</v>
      </c>
      <c r="B11" t="s">
        <v>694</v>
      </c>
      <c r="C11" t="s">
        <v>695</v>
      </c>
      <c r="D11" s="1" t="s">
        <v>665</v>
      </c>
      <c r="E11" s="1" t="s">
        <v>599</v>
      </c>
      <c r="F11" t="s">
        <v>253</v>
      </c>
      <c r="G11" s="156" t="s">
        <v>253</v>
      </c>
      <c r="H11" s="182">
        <v>45469</v>
      </c>
      <c r="I11" s="182">
        <v>45471</v>
      </c>
      <c r="L11" t="s">
        <v>694</v>
      </c>
    </row>
    <row r="17" spans="2:11">
      <c r="J17" s="249"/>
      <c r="K17" s="239"/>
    </row>
    <row r="20" spans="2:11" s="256" customFormat="1" ht="8.25" customHeight="1">
      <c r="D20" s="257"/>
      <c r="E20" s="257"/>
      <c r="G20" s="258"/>
      <c r="J20" s="259"/>
    </row>
    <row r="22" spans="2:11" s="15" customFormat="1">
      <c r="B22" s="247" t="s">
        <v>704</v>
      </c>
      <c r="C22" s="247" t="s">
        <v>700</v>
      </c>
      <c r="D22" s="15" t="s">
        <v>665</v>
      </c>
      <c r="E22" s="15" t="s">
        <v>701</v>
      </c>
      <c r="F22" s="551" t="s">
        <v>702</v>
      </c>
      <c r="G22" s="552" t="s">
        <v>703</v>
      </c>
      <c r="J22" s="558">
        <v>39960</v>
      </c>
    </row>
    <row r="23" spans="2:11">
      <c r="C23" t="s">
        <v>705</v>
      </c>
      <c r="D23" s="1" t="s">
        <v>685</v>
      </c>
      <c r="E23" s="15" t="s">
        <v>701</v>
      </c>
      <c r="F23" s="551"/>
      <c r="G23" s="552"/>
      <c r="J23" s="558"/>
    </row>
    <row r="24" spans="2:11">
      <c r="C24" t="s">
        <v>706</v>
      </c>
      <c r="D24" s="1" t="s">
        <v>685</v>
      </c>
      <c r="E24" s="15" t="s">
        <v>701</v>
      </c>
      <c r="F24" s="551"/>
      <c r="G24" s="552"/>
      <c r="J24" s="558"/>
    </row>
    <row r="25" spans="2:11">
      <c r="C25" t="s">
        <v>707</v>
      </c>
      <c r="D25" s="1" t="s">
        <v>685</v>
      </c>
      <c r="E25" s="15" t="s">
        <v>701</v>
      </c>
      <c r="F25" s="551"/>
      <c r="G25" s="552"/>
      <c r="J25" s="558"/>
    </row>
    <row r="26" spans="2:11">
      <c r="C26" t="s">
        <v>708</v>
      </c>
      <c r="D26" s="1" t="s">
        <v>685</v>
      </c>
      <c r="E26" s="15" t="s">
        <v>701</v>
      </c>
      <c r="F26" s="551"/>
      <c r="G26" s="552"/>
      <c r="J26" s="558"/>
    </row>
    <row r="27" spans="2:11">
      <c r="C27" t="s">
        <v>709</v>
      </c>
      <c r="D27" s="1" t="s">
        <v>685</v>
      </c>
      <c r="E27" s="15" t="s">
        <v>701</v>
      </c>
      <c r="F27" s="551"/>
      <c r="G27" s="552"/>
      <c r="J27" s="558"/>
    </row>
    <row r="28" spans="2:11">
      <c r="C28" t="s">
        <v>710</v>
      </c>
      <c r="D28" s="1" t="s">
        <v>721</v>
      </c>
      <c r="E28" s="15" t="s">
        <v>701</v>
      </c>
      <c r="F28" s="551"/>
      <c r="G28" s="552"/>
      <c r="J28" s="558"/>
    </row>
    <row r="29" spans="2:11">
      <c r="C29" t="s">
        <v>711</v>
      </c>
      <c r="D29" s="1" t="s">
        <v>721</v>
      </c>
      <c r="E29" s="15" t="s">
        <v>701</v>
      </c>
      <c r="F29" s="551"/>
      <c r="G29" s="552"/>
      <c r="J29" s="558"/>
    </row>
    <row r="30" spans="2:11">
      <c r="C30" t="s">
        <v>712</v>
      </c>
      <c r="D30" s="1" t="s">
        <v>685</v>
      </c>
      <c r="E30" s="15" t="s">
        <v>701</v>
      </c>
      <c r="F30" s="551"/>
      <c r="G30" s="552"/>
      <c r="J30" s="558"/>
    </row>
    <row r="31" spans="2:11">
      <c r="C31" t="s">
        <v>713</v>
      </c>
      <c r="D31" s="1" t="s">
        <v>685</v>
      </c>
      <c r="E31" s="15" t="s">
        <v>701</v>
      </c>
      <c r="F31" s="551"/>
      <c r="G31" s="552"/>
      <c r="J31" s="558"/>
    </row>
    <row r="32" spans="2:11">
      <c r="C32" t="s">
        <v>714</v>
      </c>
      <c r="D32" s="1" t="s">
        <v>685</v>
      </c>
      <c r="E32" s="15" t="s">
        <v>701</v>
      </c>
      <c r="F32" s="551"/>
      <c r="G32" s="552"/>
      <c r="J32" s="558"/>
    </row>
    <row r="33" spans="2:10">
      <c r="C33" t="s">
        <v>715</v>
      </c>
      <c r="D33" s="1" t="s">
        <v>688</v>
      </c>
      <c r="E33" s="15" t="s">
        <v>701</v>
      </c>
      <c r="F33" s="551"/>
      <c r="G33" s="552"/>
      <c r="J33" s="558"/>
    </row>
    <row r="34" spans="2:10">
      <c r="C34" t="s">
        <v>716</v>
      </c>
      <c r="D34" s="1" t="s">
        <v>688</v>
      </c>
      <c r="E34" s="15" t="s">
        <v>701</v>
      </c>
      <c r="F34" s="551"/>
      <c r="G34" s="552"/>
      <c r="J34" s="558"/>
    </row>
    <row r="35" spans="2:10">
      <c r="C35" s="105" t="s">
        <v>717</v>
      </c>
      <c r="D35" s="1" t="s">
        <v>688</v>
      </c>
      <c r="E35" s="15" t="s">
        <v>701</v>
      </c>
      <c r="F35" s="551"/>
      <c r="G35" s="552"/>
      <c r="J35" s="558"/>
    </row>
    <row r="36" spans="2:10">
      <c r="C36" t="s">
        <v>718</v>
      </c>
      <c r="D36" s="1" t="s">
        <v>688</v>
      </c>
      <c r="E36" s="15" t="s">
        <v>701</v>
      </c>
      <c r="F36" s="551"/>
      <c r="G36" s="552"/>
      <c r="J36" s="558"/>
    </row>
    <row r="37" spans="2:10">
      <c r="C37" t="s">
        <v>719</v>
      </c>
      <c r="D37" s="1" t="s">
        <v>688</v>
      </c>
      <c r="E37" s="15" t="s">
        <v>701</v>
      </c>
      <c r="F37" s="551"/>
      <c r="G37" s="552"/>
      <c r="J37" s="558"/>
    </row>
    <row r="38" spans="2:10">
      <c r="C38" t="s">
        <v>720</v>
      </c>
      <c r="D38" s="1" t="s">
        <v>688</v>
      </c>
      <c r="E38" s="15" t="s">
        <v>701</v>
      </c>
      <c r="F38" s="551"/>
      <c r="G38" s="552"/>
      <c r="J38" s="558"/>
    </row>
    <row r="39" spans="2:10">
      <c r="E39" s="15"/>
      <c r="F39" s="15"/>
      <c r="G39" s="251"/>
      <c r="J39" s="246"/>
    </row>
    <row r="41" spans="2:10">
      <c r="B41" t="s">
        <v>725</v>
      </c>
      <c r="C41" t="s">
        <v>722</v>
      </c>
      <c r="D41" s="1" t="s">
        <v>665</v>
      </c>
      <c r="E41" s="1" t="s">
        <v>701</v>
      </c>
      <c r="F41" s="551" t="s">
        <v>723</v>
      </c>
      <c r="G41" s="552" t="s">
        <v>724</v>
      </c>
      <c r="J41" s="255">
        <v>40035</v>
      </c>
    </row>
    <row r="42" spans="2:10">
      <c r="C42" t="s">
        <v>726</v>
      </c>
      <c r="D42" s="1" t="s">
        <v>685</v>
      </c>
      <c r="E42" s="1" t="s">
        <v>701</v>
      </c>
      <c r="F42" s="551"/>
      <c r="G42" s="552"/>
    </row>
    <row r="43" spans="2:10">
      <c r="C43" t="s">
        <v>727</v>
      </c>
      <c r="D43" s="1" t="s">
        <v>685</v>
      </c>
      <c r="E43" s="1" t="s">
        <v>701</v>
      </c>
      <c r="F43" s="551"/>
      <c r="G43" s="552"/>
    </row>
    <row r="44" spans="2:10">
      <c r="C44" s="105" t="s">
        <v>728</v>
      </c>
      <c r="D44" s="1" t="s">
        <v>685</v>
      </c>
      <c r="E44" s="1" t="s">
        <v>701</v>
      </c>
      <c r="F44" s="551"/>
      <c r="G44" s="552"/>
    </row>
    <row r="45" spans="2:10">
      <c r="C45" t="s">
        <v>729</v>
      </c>
      <c r="D45" s="1" t="s">
        <v>685</v>
      </c>
      <c r="E45" s="1" t="s">
        <v>701</v>
      </c>
      <c r="F45" s="551"/>
      <c r="G45" s="552"/>
    </row>
    <row r="46" spans="2:10">
      <c r="C46" t="s">
        <v>730</v>
      </c>
      <c r="D46" s="1" t="s">
        <v>685</v>
      </c>
      <c r="E46" s="1" t="s">
        <v>701</v>
      </c>
      <c r="F46" s="551"/>
      <c r="G46" s="552"/>
    </row>
    <row r="47" spans="2:10">
      <c r="C47" t="s">
        <v>731</v>
      </c>
      <c r="D47" s="1" t="s">
        <v>685</v>
      </c>
      <c r="E47" s="1" t="s">
        <v>701</v>
      </c>
      <c r="F47" s="551"/>
      <c r="G47" s="552"/>
    </row>
    <row r="48" spans="2:10">
      <c r="C48" t="s">
        <v>732</v>
      </c>
      <c r="D48" s="1" t="s">
        <v>685</v>
      </c>
      <c r="E48" s="1" t="s">
        <v>701</v>
      </c>
      <c r="F48" s="551"/>
      <c r="G48" s="552"/>
    </row>
    <row r="49" spans="2:10">
      <c r="C49" t="s">
        <v>733</v>
      </c>
      <c r="D49" s="1" t="s">
        <v>685</v>
      </c>
      <c r="E49" s="1" t="s">
        <v>701</v>
      </c>
      <c r="F49" s="551"/>
      <c r="G49" s="552"/>
    </row>
    <row r="50" spans="2:10">
      <c r="C50" t="s">
        <v>734</v>
      </c>
      <c r="D50" s="1" t="s">
        <v>685</v>
      </c>
      <c r="E50" s="1" t="s">
        <v>701</v>
      </c>
      <c r="F50" s="551"/>
      <c r="G50" s="552"/>
    </row>
    <row r="51" spans="2:10">
      <c r="C51" t="s">
        <v>735</v>
      </c>
      <c r="D51" s="1" t="s">
        <v>721</v>
      </c>
      <c r="E51" s="1" t="s">
        <v>701</v>
      </c>
      <c r="F51" s="551"/>
      <c r="G51" s="552"/>
    </row>
    <row r="52" spans="2:10">
      <c r="C52" t="s">
        <v>736</v>
      </c>
      <c r="D52" s="1" t="s">
        <v>688</v>
      </c>
      <c r="E52" s="1" t="s">
        <v>701</v>
      </c>
      <c r="F52" s="551"/>
      <c r="G52" s="552"/>
    </row>
    <row r="53" spans="2:10">
      <c r="C53" t="s">
        <v>737</v>
      </c>
      <c r="D53" s="1" t="s">
        <v>688</v>
      </c>
      <c r="E53" s="1" t="s">
        <v>701</v>
      </c>
      <c r="F53" s="551"/>
      <c r="G53" s="552"/>
    </row>
    <row r="54" spans="2:10">
      <c r="C54" t="s">
        <v>738</v>
      </c>
      <c r="D54" s="1" t="s">
        <v>688</v>
      </c>
      <c r="E54" s="1" t="s">
        <v>701</v>
      </c>
      <c r="F54" s="551"/>
      <c r="G54" s="552"/>
    </row>
    <row r="56" spans="2:10">
      <c r="B56" t="s">
        <v>739</v>
      </c>
      <c r="C56" t="s">
        <v>739</v>
      </c>
      <c r="D56" s="1" t="s">
        <v>665</v>
      </c>
      <c r="E56" s="1" t="s">
        <v>701</v>
      </c>
      <c r="F56" s="551" t="s">
        <v>740</v>
      </c>
      <c r="G56" s="553" t="s">
        <v>741</v>
      </c>
      <c r="J56" s="255">
        <v>40157</v>
      </c>
    </row>
    <row r="57" spans="2:10">
      <c r="C57" t="s">
        <v>742</v>
      </c>
      <c r="D57" s="1" t="s">
        <v>665</v>
      </c>
      <c r="E57" s="1" t="s">
        <v>701</v>
      </c>
      <c r="F57" s="551"/>
      <c r="G57" s="553"/>
    </row>
    <row r="58" spans="2:10">
      <c r="C58" t="s">
        <v>743</v>
      </c>
      <c r="D58" s="1" t="s">
        <v>665</v>
      </c>
      <c r="E58" s="1" t="s">
        <v>701</v>
      </c>
      <c r="F58" s="551"/>
      <c r="G58" s="553"/>
    </row>
    <row r="59" spans="2:10">
      <c r="C59" t="s">
        <v>744</v>
      </c>
      <c r="D59" s="1" t="s">
        <v>665</v>
      </c>
      <c r="E59" s="1" t="s">
        <v>701</v>
      </c>
      <c r="F59" s="551"/>
      <c r="G59" s="553"/>
    </row>
    <row r="60" spans="2:10">
      <c r="C60" t="s">
        <v>745</v>
      </c>
      <c r="D60" s="1" t="s">
        <v>665</v>
      </c>
      <c r="E60" s="1" t="s">
        <v>701</v>
      </c>
      <c r="F60" s="551"/>
      <c r="G60" s="553"/>
    </row>
    <row r="61" spans="2:10">
      <c r="C61" t="s">
        <v>746</v>
      </c>
      <c r="D61" s="1" t="s">
        <v>665</v>
      </c>
      <c r="E61" s="1" t="s">
        <v>701</v>
      </c>
      <c r="F61" s="551"/>
      <c r="G61" s="553"/>
    </row>
    <row r="62" spans="2:10">
      <c r="C62" t="s">
        <v>747</v>
      </c>
      <c r="D62" s="1" t="s">
        <v>665</v>
      </c>
      <c r="E62" s="1" t="s">
        <v>701</v>
      </c>
      <c r="F62" s="551"/>
      <c r="G62" s="553"/>
    </row>
    <row r="64" spans="2:10">
      <c r="B64" t="s">
        <v>748</v>
      </c>
      <c r="C64" t="s">
        <v>748</v>
      </c>
      <c r="D64" s="1" t="s">
        <v>665</v>
      </c>
      <c r="E64" s="1" t="s">
        <v>701</v>
      </c>
      <c r="F64" s="554" t="s">
        <v>748</v>
      </c>
      <c r="G64" s="552" t="s">
        <v>749</v>
      </c>
      <c r="J64" s="255">
        <v>40268</v>
      </c>
    </row>
    <row r="65" spans="3:7">
      <c r="C65" t="s">
        <v>750</v>
      </c>
      <c r="D65" s="1" t="s">
        <v>685</v>
      </c>
      <c r="E65" s="1" t="s">
        <v>701</v>
      </c>
      <c r="F65" s="554"/>
      <c r="G65" s="552"/>
    </row>
    <row r="66" spans="3:7">
      <c r="C66" s="105" t="s">
        <v>751</v>
      </c>
      <c r="D66" s="1" t="s">
        <v>685</v>
      </c>
      <c r="E66" s="1" t="s">
        <v>701</v>
      </c>
      <c r="F66" s="554"/>
      <c r="G66" s="552"/>
    </row>
    <row r="67" spans="3:7">
      <c r="C67" s="105" t="s">
        <v>752</v>
      </c>
      <c r="D67" s="1" t="s">
        <v>756</v>
      </c>
      <c r="E67" s="1" t="s">
        <v>701</v>
      </c>
      <c r="F67" s="554"/>
      <c r="G67" s="552"/>
    </row>
    <row r="68" spans="3:7">
      <c r="C68" t="s">
        <v>753</v>
      </c>
      <c r="D68" s="1" t="s">
        <v>721</v>
      </c>
      <c r="E68" s="1" t="s">
        <v>701</v>
      </c>
      <c r="F68" s="554"/>
      <c r="G68" s="552"/>
    </row>
    <row r="69" spans="3:7">
      <c r="C69" t="s">
        <v>754</v>
      </c>
      <c r="D69" s="1" t="s">
        <v>685</v>
      </c>
      <c r="E69" s="1" t="s">
        <v>701</v>
      </c>
      <c r="F69" s="554"/>
      <c r="G69" s="552"/>
    </row>
    <row r="70" spans="3:7">
      <c r="C70" t="s">
        <v>755</v>
      </c>
      <c r="D70" s="1" t="s">
        <v>685</v>
      </c>
      <c r="E70" s="1" t="s">
        <v>701</v>
      </c>
      <c r="F70" s="554"/>
      <c r="G70" s="552"/>
    </row>
  </sheetData>
  <mergeCells count="18">
    <mergeCell ref="H1:J1"/>
    <mergeCell ref="F7:F9"/>
    <mergeCell ref="G7:G9"/>
    <mergeCell ref="J7:J9"/>
    <mergeCell ref="I7:I9"/>
    <mergeCell ref="H7:H9"/>
    <mergeCell ref="A7:A9"/>
    <mergeCell ref="B7:B9"/>
    <mergeCell ref="L7:L9"/>
    <mergeCell ref="F22:F38"/>
    <mergeCell ref="G22:G38"/>
    <mergeCell ref="J22:J38"/>
    <mergeCell ref="F41:F54"/>
    <mergeCell ref="G41:G54"/>
    <mergeCell ref="F56:F62"/>
    <mergeCell ref="G56:G62"/>
    <mergeCell ref="F64:F70"/>
    <mergeCell ref="G64:G7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368-B7A2-49D8-8567-F273EE1A68A7}">
  <dimension ref="A1:R17"/>
  <sheetViews>
    <sheetView workbookViewId="0">
      <selection activeCell="N15" sqref="N15"/>
    </sheetView>
  </sheetViews>
  <sheetFormatPr defaultRowHeight="14.5"/>
  <cols>
    <col min="1" max="1" width="25.7265625" customWidth="1"/>
    <col min="2" max="2" width="11" hidden="1" customWidth="1"/>
    <col min="3" max="3" width="12" hidden="1" customWidth="1"/>
    <col min="4" max="4" width="11.453125" hidden="1" customWidth="1"/>
    <col min="5" max="5" width="0" style="154" hidden="1" customWidth="1"/>
    <col min="6" max="6" width="8" hidden="1" customWidth="1"/>
    <col min="7" max="7" width="6.7265625" hidden="1" customWidth="1"/>
    <col min="8" max="8" width="9.1796875" hidden="1" customWidth="1"/>
    <col min="9" max="9" width="8" hidden="1" customWidth="1"/>
    <col min="10" max="10" width="6.7265625" hidden="1" customWidth="1"/>
    <col min="11" max="11" width="8.26953125" hidden="1" customWidth="1"/>
    <col min="13" max="13" width="0" hidden="1" customWidth="1"/>
    <col min="14" max="14" width="49.26953125" customWidth="1"/>
    <col min="15" max="15" width="33.453125" customWidth="1"/>
    <col min="16" max="16" width="20.7265625" style="1" customWidth="1"/>
    <col min="17" max="17" width="30.7265625" customWidth="1"/>
  </cols>
  <sheetData>
    <row r="1" spans="1:18" ht="15" thickBot="1">
      <c r="K1" s="567" t="s">
        <v>769</v>
      </c>
      <c r="L1" s="567"/>
      <c r="M1" s="567"/>
    </row>
    <row r="2" spans="1:18" ht="15" thickBot="1">
      <c r="A2" s="565" t="s">
        <v>640</v>
      </c>
      <c r="B2" s="562" t="s">
        <v>633</v>
      </c>
      <c r="C2" s="563"/>
      <c r="D2" s="564"/>
      <c r="E2" s="562" t="s">
        <v>623</v>
      </c>
      <c r="F2" s="563"/>
      <c r="G2" s="570"/>
      <c r="H2" s="562" t="s">
        <v>643</v>
      </c>
      <c r="I2" s="563"/>
      <c r="J2" s="570"/>
      <c r="K2" s="562"/>
      <c r="L2" s="563"/>
      <c r="M2" s="570"/>
      <c r="N2" s="575" t="s">
        <v>627</v>
      </c>
      <c r="O2" s="573" t="s">
        <v>639</v>
      </c>
      <c r="P2" s="571" t="s">
        <v>632</v>
      </c>
      <c r="Q2" s="568" t="s">
        <v>628</v>
      </c>
    </row>
    <row r="3" spans="1:18" ht="15" thickBot="1">
      <c r="A3" s="566"/>
      <c r="B3" s="231" t="s">
        <v>175</v>
      </c>
      <c r="C3" s="226" t="s">
        <v>630</v>
      </c>
      <c r="D3" s="227" t="s">
        <v>631</v>
      </c>
      <c r="E3" s="232" t="s">
        <v>624</v>
      </c>
      <c r="F3" s="226" t="s">
        <v>625</v>
      </c>
      <c r="G3" s="228" t="s">
        <v>626</v>
      </c>
      <c r="H3" s="225" t="s">
        <v>624</v>
      </c>
      <c r="I3" s="226" t="s">
        <v>625</v>
      </c>
      <c r="J3" s="228" t="s">
        <v>626</v>
      </c>
      <c r="K3" s="225" t="s">
        <v>624</v>
      </c>
      <c r="L3" s="226" t="s">
        <v>625</v>
      </c>
      <c r="M3" s="228" t="s">
        <v>626</v>
      </c>
      <c r="N3" s="576"/>
      <c r="O3" s="574"/>
      <c r="P3" s="572"/>
      <c r="Q3" s="569"/>
    </row>
    <row r="4" spans="1:18">
      <c r="A4" s="224" t="s">
        <v>622</v>
      </c>
      <c r="B4" s="229" t="s">
        <v>634</v>
      </c>
      <c r="C4" s="4">
        <v>821.45</v>
      </c>
      <c r="D4" s="24">
        <v>19.82</v>
      </c>
      <c r="E4" s="233">
        <v>3.5879629629629629E-3</v>
      </c>
      <c r="F4" s="4">
        <v>7.08</v>
      </c>
      <c r="G4" s="223">
        <v>0.13100000000000001</v>
      </c>
      <c r="H4" s="233">
        <v>4.027777777777778E-2</v>
      </c>
      <c r="I4" s="4">
        <v>80</v>
      </c>
      <c r="J4" s="223">
        <v>0.6</v>
      </c>
      <c r="K4" s="233">
        <v>0.40972222222222221</v>
      </c>
      <c r="L4" s="4">
        <v>821</v>
      </c>
      <c r="M4" s="4">
        <v>7</v>
      </c>
      <c r="N4" s="212" t="s">
        <v>772</v>
      </c>
      <c r="O4" s="2" t="s">
        <v>644</v>
      </c>
      <c r="P4" s="219" t="s">
        <v>641</v>
      </c>
      <c r="Q4" s="221" t="s">
        <v>629</v>
      </c>
    </row>
    <row r="5" spans="1:18">
      <c r="A5" s="224" t="s">
        <v>635</v>
      </c>
      <c r="B5" s="230" t="s">
        <v>637</v>
      </c>
      <c r="C5" s="2">
        <v>174.13</v>
      </c>
      <c r="D5" s="25">
        <v>21.64</v>
      </c>
      <c r="E5" s="234"/>
      <c r="F5" s="2"/>
      <c r="G5" s="213"/>
      <c r="H5" s="234">
        <v>3.2638888888888891E-2</v>
      </c>
      <c r="I5" s="2">
        <v>9</v>
      </c>
      <c r="J5" s="213">
        <v>0.8</v>
      </c>
      <c r="K5" s="234">
        <v>0.38194444444444442</v>
      </c>
      <c r="L5" s="2">
        <v>152</v>
      </c>
      <c r="M5" s="213">
        <v>2.5</v>
      </c>
      <c r="N5" s="212" t="s">
        <v>770</v>
      </c>
      <c r="O5" s="2" t="s">
        <v>645</v>
      </c>
      <c r="P5" s="219" t="s">
        <v>771</v>
      </c>
      <c r="Q5" s="221" t="s">
        <v>636</v>
      </c>
      <c r="R5" t="s">
        <v>642</v>
      </c>
    </row>
    <row r="6" spans="1:18" s="200" customFormat="1" ht="87">
      <c r="A6" s="262" t="s">
        <v>336</v>
      </c>
      <c r="B6" s="263" t="s">
        <v>638</v>
      </c>
      <c r="C6" s="33">
        <v>694.14</v>
      </c>
      <c r="D6" s="34">
        <v>0.34</v>
      </c>
      <c r="E6" s="264"/>
      <c r="F6" s="33"/>
      <c r="G6" s="265"/>
      <c r="H6" s="264">
        <v>6.7361111111111108E-2</v>
      </c>
      <c r="I6" s="33">
        <v>151</v>
      </c>
      <c r="J6" s="265">
        <v>1.4</v>
      </c>
      <c r="K6" s="264">
        <v>0.10416666666666667</v>
      </c>
      <c r="L6" s="33">
        <v>450</v>
      </c>
      <c r="M6" s="265">
        <v>3.4</v>
      </c>
      <c r="N6" s="266" t="s">
        <v>773</v>
      </c>
      <c r="O6" s="33" t="s">
        <v>649</v>
      </c>
      <c r="P6" s="268" t="s">
        <v>775</v>
      </c>
      <c r="Q6" s="267" t="s">
        <v>774</v>
      </c>
    </row>
    <row r="7" spans="1:18">
      <c r="A7" s="221"/>
      <c r="B7" s="164"/>
      <c r="C7" s="2"/>
      <c r="D7" s="25"/>
      <c r="E7" s="234"/>
      <c r="F7" s="2"/>
      <c r="G7" s="213"/>
      <c r="H7" s="234"/>
      <c r="I7" s="2"/>
      <c r="J7" s="213"/>
      <c r="K7" s="234"/>
      <c r="L7" s="269">
        <f>SUM(L4:L6)</f>
        <v>1423</v>
      </c>
      <c r="M7" s="213"/>
      <c r="N7" s="212"/>
      <c r="O7" s="2"/>
      <c r="P7" s="219"/>
      <c r="Q7" s="221"/>
    </row>
    <row r="8" spans="1:18">
      <c r="A8" s="221"/>
      <c r="B8" s="164"/>
      <c r="C8" s="2"/>
      <c r="D8" s="25"/>
      <c r="E8" s="234"/>
      <c r="F8" s="2"/>
      <c r="G8" s="213"/>
      <c r="H8" s="234"/>
      <c r="I8" s="2"/>
      <c r="J8" s="213"/>
      <c r="K8" s="234"/>
      <c r="L8" s="2"/>
      <c r="M8" s="213"/>
      <c r="N8" s="212"/>
      <c r="O8" s="2"/>
      <c r="P8" s="219"/>
      <c r="Q8" s="221"/>
    </row>
    <row r="9" spans="1:18">
      <c r="A9" s="221"/>
      <c r="B9" s="164"/>
      <c r="C9" s="2"/>
      <c r="D9" s="25"/>
      <c r="E9" s="234"/>
      <c r="F9" s="2"/>
      <c r="G9" s="213"/>
      <c r="H9" s="234"/>
      <c r="I9" s="2"/>
      <c r="J9" s="213"/>
      <c r="K9" s="234"/>
      <c r="L9" s="2"/>
      <c r="M9" s="213"/>
      <c r="N9" s="212"/>
      <c r="O9" s="2"/>
      <c r="P9" s="219"/>
      <c r="Q9" s="221"/>
    </row>
    <row r="10" spans="1:18">
      <c r="A10" s="221"/>
      <c r="B10" s="164"/>
      <c r="C10" s="2"/>
      <c r="D10" s="25"/>
      <c r="E10" s="234"/>
      <c r="F10" s="2"/>
      <c r="G10" s="213"/>
      <c r="H10" s="234"/>
      <c r="I10" s="2"/>
      <c r="J10" s="213"/>
      <c r="K10" s="234"/>
      <c r="L10" s="2"/>
      <c r="M10" s="213"/>
      <c r="N10" s="212"/>
      <c r="O10" s="2"/>
      <c r="P10" s="219"/>
      <c r="Q10" s="221"/>
    </row>
    <row r="11" spans="1:18" ht="15" thickBot="1">
      <c r="A11" s="222"/>
      <c r="B11" s="218"/>
      <c r="C11" s="215"/>
      <c r="D11" s="217"/>
      <c r="E11" s="235"/>
      <c r="F11" s="215"/>
      <c r="G11" s="216"/>
      <c r="H11" s="235"/>
      <c r="I11" s="215"/>
      <c r="J11" s="216"/>
      <c r="K11" s="235"/>
      <c r="L11" s="215"/>
      <c r="M11" s="216"/>
      <c r="N11" s="214"/>
      <c r="O11" s="215"/>
      <c r="P11" s="220"/>
      <c r="Q11" s="222"/>
    </row>
    <row r="16" spans="1:18">
      <c r="A16" t="s">
        <v>647</v>
      </c>
      <c r="B16" t="s">
        <v>646</v>
      </c>
      <c r="C16">
        <v>5321098</v>
      </c>
    </row>
    <row r="17" spans="1:1">
      <c r="A17" t="s">
        <v>648</v>
      </c>
    </row>
  </sheetData>
  <mergeCells count="10">
    <mergeCell ref="B2:D2"/>
    <mergeCell ref="A2:A3"/>
    <mergeCell ref="K1:M1"/>
    <mergeCell ref="Q2:Q3"/>
    <mergeCell ref="H2:J2"/>
    <mergeCell ref="E2:G2"/>
    <mergeCell ref="K2:M2"/>
    <mergeCell ref="P2:P3"/>
    <mergeCell ref="O2:O3"/>
    <mergeCell ref="N2:N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EBDE-4952-4FDA-A3B3-B3024A3307DE}">
  <dimension ref="A1:P37"/>
  <sheetViews>
    <sheetView zoomScale="90" zoomScaleNormal="90" workbookViewId="0">
      <selection activeCell="H15" sqref="H15"/>
    </sheetView>
  </sheetViews>
  <sheetFormatPr defaultRowHeight="14.5"/>
  <cols>
    <col min="1" max="1" width="25.453125" customWidth="1"/>
    <col min="2" max="2" width="31.54296875" bestFit="1" customWidth="1"/>
    <col min="3" max="3" width="10.7265625" customWidth="1"/>
    <col min="4" max="5" width="12.7265625" style="468" customWidth="1"/>
    <col min="6" max="6" width="12.26953125" customWidth="1"/>
    <col min="7" max="7" width="10.7265625" customWidth="1"/>
    <col min="8" max="8" width="12.453125" customWidth="1"/>
    <col min="10" max="10" width="2.7265625" customWidth="1"/>
    <col min="11" max="12" width="9.1796875" hidden="1" customWidth="1"/>
    <col min="13" max="13" width="25" customWidth="1"/>
    <col min="14" max="14" width="12.81640625" customWidth="1"/>
    <col min="15" max="15" width="73.54296875" customWidth="1"/>
    <col min="16" max="16" width="62.81640625" bestFit="1" customWidth="1"/>
  </cols>
  <sheetData>
    <row r="1" spans="1:16">
      <c r="A1" t="s">
        <v>1696</v>
      </c>
      <c r="B1" t="s">
        <v>1697</v>
      </c>
      <c r="C1" s="102">
        <v>2.0833333333333332E-2</v>
      </c>
    </row>
    <row r="2" spans="1:16">
      <c r="A2" t="s">
        <v>1698</v>
      </c>
      <c r="C2" s="102">
        <v>1.0416666666666666E-2</v>
      </c>
    </row>
    <row r="3" spans="1:16">
      <c r="A3" t="s">
        <v>1653</v>
      </c>
      <c r="B3" t="s">
        <v>1699</v>
      </c>
      <c r="C3" s="102">
        <v>0.25</v>
      </c>
    </row>
    <row r="4" spans="1:16">
      <c r="A4" t="s">
        <v>1700</v>
      </c>
      <c r="B4" t="s">
        <v>1701</v>
      </c>
    </row>
    <row r="5" spans="1:16">
      <c r="A5" t="s">
        <v>1702</v>
      </c>
      <c r="B5" t="s">
        <v>1701</v>
      </c>
    </row>
    <row r="6" spans="1:16">
      <c r="A6" t="s">
        <v>1703</v>
      </c>
    </row>
    <row r="7" spans="1:16">
      <c r="A7" t="s">
        <v>1704</v>
      </c>
      <c r="C7" s="102">
        <v>8.3333333333333329E-2</v>
      </c>
    </row>
    <row r="9" spans="1:16">
      <c r="A9" s="469" t="s">
        <v>1537</v>
      </c>
      <c r="B9" t="s">
        <v>373</v>
      </c>
    </row>
    <row r="10" spans="1:16">
      <c r="A10" s="470" t="s">
        <v>177</v>
      </c>
      <c r="B10" t="s">
        <v>1705</v>
      </c>
    </row>
    <row r="11" spans="1:16">
      <c r="A11" s="470" t="s">
        <v>1706</v>
      </c>
      <c r="B11" s="470" t="s">
        <v>1707</v>
      </c>
      <c r="C11" s="470" t="s">
        <v>1708</v>
      </c>
      <c r="D11" s="471" t="s">
        <v>1709</v>
      </c>
      <c r="E11" s="471" t="s">
        <v>1710</v>
      </c>
      <c r="F11" s="472" t="s">
        <v>1711</v>
      </c>
      <c r="G11" s="472" t="s">
        <v>1712</v>
      </c>
      <c r="H11" s="472" t="s">
        <v>1713</v>
      </c>
    </row>
    <row r="12" spans="1:16">
      <c r="A12" t="s">
        <v>538</v>
      </c>
      <c r="B12" t="s">
        <v>373</v>
      </c>
      <c r="C12">
        <v>100</v>
      </c>
      <c r="D12" s="468">
        <v>56815.25</v>
      </c>
      <c r="E12" s="468">
        <v>7252.73</v>
      </c>
      <c r="F12" s="102">
        <v>9.6064814814814819E-4</v>
      </c>
      <c r="G12" s="102"/>
      <c r="H12" s="102">
        <v>1.3888888888888889E-3</v>
      </c>
      <c r="M12" s="473" t="s">
        <v>1706</v>
      </c>
      <c r="N12" s="474" t="s">
        <v>1710</v>
      </c>
      <c r="O12" s="474" t="s">
        <v>1714</v>
      </c>
      <c r="P12" s="474" t="s">
        <v>356</v>
      </c>
    </row>
    <row r="13" spans="1:16">
      <c r="A13" t="s">
        <v>503</v>
      </c>
      <c r="B13" t="s">
        <v>377</v>
      </c>
      <c r="C13">
        <v>130</v>
      </c>
      <c r="D13" s="468">
        <v>1004777.13</v>
      </c>
      <c r="E13" s="468">
        <v>119818.75</v>
      </c>
      <c r="F13" s="102">
        <v>1.2789351851851852E-2</v>
      </c>
      <c r="G13" s="102">
        <v>4.1666666666666664E-2</v>
      </c>
      <c r="H13" s="102">
        <v>2.0833333333333332E-2</v>
      </c>
      <c r="M13" s="2" t="s">
        <v>538</v>
      </c>
      <c r="N13" s="409">
        <v>7252.73</v>
      </c>
      <c r="O13" s="475" t="s">
        <v>1715</v>
      </c>
      <c r="P13" s="577" t="s">
        <v>1716</v>
      </c>
    </row>
    <row r="14" spans="1:16">
      <c r="A14" t="s">
        <v>498</v>
      </c>
      <c r="B14" t="s">
        <v>373</v>
      </c>
      <c r="C14">
        <v>100</v>
      </c>
      <c r="D14" s="468">
        <v>598204.5</v>
      </c>
      <c r="E14" s="468">
        <v>548468.18999999994</v>
      </c>
      <c r="F14" s="102">
        <v>1.1111111111111112E-2</v>
      </c>
      <c r="G14" s="102"/>
      <c r="H14" s="102">
        <v>1.4583333333333334E-2</v>
      </c>
      <c r="M14" s="2" t="s">
        <v>503</v>
      </c>
      <c r="N14" s="409">
        <v>121258.11</v>
      </c>
      <c r="O14" s="475" t="s">
        <v>1717</v>
      </c>
      <c r="P14" s="578"/>
    </row>
    <row r="15" spans="1:16">
      <c r="A15" t="s">
        <v>84</v>
      </c>
      <c r="B15" t="s">
        <v>373</v>
      </c>
      <c r="C15">
        <v>130</v>
      </c>
      <c r="D15" s="468">
        <v>5341528.13</v>
      </c>
      <c r="E15" s="468">
        <v>1068570.22</v>
      </c>
      <c r="F15" s="102">
        <v>0.30138888888888887</v>
      </c>
      <c r="G15" s="102">
        <v>0.25</v>
      </c>
      <c r="H15" s="102">
        <v>0.18541666666666667</v>
      </c>
      <c r="M15" s="2" t="s">
        <v>84</v>
      </c>
      <c r="N15" s="409">
        <v>997013.22</v>
      </c>
      <c r="O15" s="475" t="s">
        <v>1718</v>
      </c>
      <c r="P15" s="578"/>
    </row>
    <row r="16" spans="1:16">
      <c r="A16" t="s">
        <v>90</v>
      </c>
      <c r="B16" t="s">
        <v>373</v>
      </c>
      <c r="C16">
        <v>130</v>
      </c>
      <c r="D16" s="468">
        <v>54747.94</v>
      </c>
      <c r="E16" s="468">
        <v>5.81</v>
      </c>
      <c r="F16" s="102">
        <v>6.9444444444444444E-5</v>
      </c>
      <c r="G16" s="102"/>
      <c r="H16" s="102">
        <v>2.7777777777777779E-3</v>
      </c>
      <c r="M16" s="2" t="s">
        <v>90</v>
      </c>
      <c r="N16" s="409">
        <v>6.2</v>
      </c>
      <c r="O16" s="475" t="s">
        <v>1719</v>
      </c>
      <c r="P16" s="578"/>
    </row>
    <row r="17" spans="1:16">
      <c r="A17" t="s">
        <v>1052</v>
      </c>
      <c r="B17" t="s">
        <v>373</v>
      </c>
      <c r="C17">
        <v>130</v>
      </c>
      <c r="D17" s="468">
        <v>72.13</v>
      </c>
      <c r="E17" s="468">
        <v>3.65</v>
      </c>
      <c r="F17" s="102">
        <v>1.1574074074074075E-4</v>
      </c>
      <c r="G17" s="102"/>
      <c r="H17" s="102">
        <v>6.9444444444444447E-4</v>
      </c>
      <c r="M17" s="2" t="s">
        <v>504</v>
      </c>
      <c r="N17" s="409">
        <v>3102.14</v>
      </c>
      <c r="O17" s="475" t="s">
        <v>1720</v>
      </c>
      <c r="P17" s="578"/>
    </row>
    <row r="18" spans="1:16">
      <c r="A18" t="s">
        <v>504</v>
      </c>
      <c r="B18" t="s">
        <v>377</v>
      </c>
      <c r="C18">
        <v>130</v>
      </c>
      <c r="D18" s="468">
        <v>4880</v>
      </c>
      <c r="E18" s="468">
        <v>3101.05</v>
      </c>
      <c r="F18" s="102">
        <v>4.8263888888888887E-3</v>
      </c>
      <c r="G18" s="102"/>
      <c r="H18" s="102">
        <v>1.3888888888888889E-3</v>
      </c>
      <c r="M18" s="2"/>
      <c r="N18" s="409"/>
      <c r="O18" s="64"/>
      <c r="P18" s="578"/>
    </row>
    <row r="19" spans="1:16">
      <c r="A19" t="s">
        <v>599</v>
      </c>
      <c r="B19" t="s">
        <v>377</v>
      </c>
      <c r="C19">
        <v>130</v>
      </c>
      <c r="D19" s="468">
        <v>40403.629999999997</v>
      </c>
      <c r="E19" s="468">
        <v>23459</v>
      </c>
      <c r="F19" s="102">
        <v>6.2500000000000003E-3</v>
      </c>
      <c r="G19" s="102">
        <v>4.1666666666666664E-2</v>
      </c>
      <c r="H19" s="102">
        <v>4.8611111111111112E-3</v>
      </c>
      <c r="I19" t="s">
        <v>1721</v>
      </c>
      <c r="M19" s="2" t="s">
        <v>1169</v>
      </c>
      <c r="N19" s="409">
        <v>21.388000000000002</v>
      </c>
      <c r="O19" s="475" t="s">
        <v>1722</v>
      </c>
      <c r="P19" s="578"/>
    </row>
    <row r="20" spans="1:16">
      <c r="M20" s="2" t="s">
        <v>88</v>
      </c>
      <c r="N20" s="409">
        <v>297.42200000000003</v>
      </c>
      <c r="O20" s="475" t="s">
        <v>1723</v>
      </c>
      <c r="P20" s="578"/>
    </row>
    <row r="21" spans="1:16">
      <c r="A21" s="476" t="s">
        <v>1724</v>
      </c>
      <c r="B21" s="476" t="s">
        <v>373</v>
      </c>
      <c r="C21" s="476">
        <v>130</v>
      </c>
      <c r="D21" s="477">
        <v>202512</v>
      </c>
      <c r="E21" s="477"/>
      <c r="F21" s="476"/>
      <c r="G21" s="476"/>
      <c r="H21" s="476"/>
      <c r="M21" s="2" t="s">
        <v>1052</v>
      </c>
      <c r="N21" s="409">
        <v>3.65</v>
      </c>
      <c r="O21" s="475" t="s">
        <v>1725</v>
      </c>
      <c r="P21" s="579"/>
    </row>
    <row r="22" spans="1:16">
      <c r="A22" s="476" t="s">
        <v>1726</v>
      </c>
      <c r="B22" s="476" t="s">
        <v>373</v>
      </c>
      <c r="C22" s="476">
        <v>100</v>
      </c>
      <c r="D22" s="477">
        <v>47181.56</v>
      </c>
      <c r="E22" s="477">
        <v>126.05</v>
      </c>
      <c r="F22" s="478">
        <v>6.9444444444444444E-5</v>
      </c>
      <c r="G22" s="478"/>
      <c r="H22" s="476"/>
      <c r="P22" s="91"/>
    </row>
    <row r="23" spans="1:16">
      <c r="A23" t="s">
        <v>1727</v>
      </c>
      <c r="B23" t="s">
        <v>373</v>
      </c>
      <c r="C23">
        <v>130</v>
      </c>
      <c r="D23" s="468">
        <v>1348435.94</v>
      </c>
      <c r="I23" t="s">
        <v>1728</v>
      </c>
    </row>
    <row r="24" spans="1:16">
      <c r="A24" t="s">
        <v>1729</v>
      </c>
      <c r="B24" t="s">
        <v>373</v>
      </c>
      <c r="C24">
        <v>130</v>
      </c>
      <c r="D24" s="468">
        <v>54188</v>
      </c>
    </row>
    <row r="26" spans="1:16">
      <c r="A26" s="479" t="s">
        <v>1730</v>
      </c>
      <c r="B26" s="12"/>
      <c r="C26" s="12"/>
      <c r="D26" s="480">
        <f>SUM(D12:D19,D23:D24)</f>
        <v>8504052.6500000004</v>
      </c>
      <c r="E26" s="480">
        <f>SUM(E12:E19,E23:E24)</f>
        <v>1770679.4</v>
      </c>
      <c r="F26" s="481">
        <f>SUM(F12:F19,F23:F24)</f>
        <v>0.33751157407407401</v>
      </c>
      <c r="G26" s="481">
        <f>SUM(G12:G19,G23:G24)</f>
        <v>0.33333333333333337</v>
      </c>
      <c r="H26" s="481">
        <f>SUM(H12:H19,H23:H24)</f>
        <v>0.23194444444444443</v>
      </c>
    </row>
    <row r="27" spans="1:16">
      <c r="A27" s="143"/>
      <c r="D27" s="482"/>
      <c r="E27" s="482"/>
      <c r="F27" s="102"/>
      <c r="G27" s="102"/>
      <c r="H27" s="102"/>
    </row>
    <row r="28" spans="1:16">
      <c r="A28" s="469" t="s">
        <v>1538</v>
      </c>
      <c r="B28" t="s">
        <v>373</v>
      </c>
      <c r="O28" s="483" t="s">
        <v>1731</v>
      </c>
    </row>
    <row r="29" spans="1:16">
      <c r="A29" s="470" t="s">
        <v>1732</v>
      </c>
      <c r="B29" t="s">
        <v>1733</v>
      </c>
      <c r="G29" s="472" t="s">
        <v>1734</v>
      </c>
    </row>
    <row r="30" spans="1:16">
      <c r="A30" s="470" t="s">
        <v>1706</v>
      </c>
      <c r="B30" s="470" t="s">
        <v>1707</v>
      </c>
      <c r="C30" s="470" t="s">
        <v>1708</v>
      </c>
      <c r="D30" s="471" t="s">
        <v>1709</v>
      </c>
      <c r="E30" s="471" t="s">
        <v>1735</v>
      </c>
      <c r="F30" s="472" t="s">
        <v>1711</v>
      </c>
      <c r="G30" s="472" t="s">
        <v>1712</v>
      </c>
      <c r="H30" s="472" t="s">
        <v>1713</v>
      </c>
    </row>
    <row r="31" spans="1:16">
      <c r="A31" t="s">
        <v>1169</v>
      </c>
      <c r="B31" t="s">
        <v>373</v>
      </c>
      <c r="C31">
        <v>130</v>
      </c>
      <c r="D31" s="468">
        <v>2888</v>
      </c>
      <c r="E31" s="468">
        <v>13.14</v>
      </c>
      <c r="F31" s="102">
        <v>2.3148148148148147E-5</v>
      </c>
      <c r="G31" s="102">
        <v>6.9444444444444447E-4</v>
      </c>
      <c r="H31" s="102">
        <v>2.0833333333333333E-3</v>
      </c>
    </row>
    <row r="32" spans="1:16">
      <c r="A32" t="s">
        <v>88</v>
      </c>
      <c r="B32" t="s">
        <v>373</v>
      </c>
      <c r="C32">
        <v>150</v>
      </c>
      <c r="D32" s="468">
        <v>35640</v>
      </c>
      <c r="E32" s="468">
        <v>244.19</v>
      </c>
      <c r="F32" s="102">
        <v>5.7870370370370373E-5</v>
      </c>
      <c r="G32" s="102">
        <v>1.3888888888888889E-3</v>
      </c>
      <c r="H32" s="102">
        <v>4.8611111111111112E-3</v>
      </c>
    </row>
    <row r="33" spans="1:8">
      <c r="A33" t="s">
        <v>599</v>
      </c>
      <c r="B33" t="s">
        <v>373</v>
      </c>
      <c r="C33">
        <v>130</v>
      </c>
      <c r="D33" s="468">
        <v>40403.629999999997</v>
      </c>
      <c r="F33" s="102">
        <v>3.472222222222222E-3</v>
      </c>
      <c r="G33" s="102">
        <v>4.1666666666666664E-2</v>
      </c>
      <c r="H33" s="102">
        <v>4.8611111111111112E-3</v>
      </c>
    </row>
    <row r="35" spans="1:8">
      <c r="A35" s="476" t="s">
        <v>1736</v>
      </c>
      <c r="B35" s="476" t="s">
        <v>373</v>
      </c>
      <c r="C35" s="476">
        <v>150</v>
      </c>
      <c r="D35" s="477">
        <v>87184</v>
      </c>
      <c r="E35" s="477">
        <v>5938.07</v>
      </c>
      <c r="F35" s="478">
        <v>1.0069444444444444E-3</v>
      </c>
      <c r="G35" s="478"/>
      <c r="H35" s="476"/>
    </row>
    <row r="36" spans="1:8">
      <c r="A36" s="476" t="s">
        <v>1726</v>
      </c>
      <c r="B36" s="476" t="s">
        <v>373</v>
      </c>
      <c r="C36" s="476">
        <v>100</v>
      </c>
      <c r="D36" s="477">
        <v>10773.25</v>
      </c>
      <c r="E36" s="477">
        <v>2640.46</v>
      </c>
      <c r="F36" s="478">
        <v>4.3981481481481481E-4</v>
      </c>
      <c r="G36" s="478"/>
      <c r="H36" s="476"/>
    </row>
    <row r="37" spans="1:8">
      <c r="A37" s="479" t="s">
        <v>1730</v>
      </c>
      <c r="B37" s="12"/>
      <c r="C37" s="12"/>
      <c r="D37" s="480">
        <f>SUM(D31:D33)</f>
        <v>78931.63</v>
      </c>
      <c r="E37" s="480">
        <f>SUM(E31:E33)</f>
        <v>257.33</v>
      </c>
      <c r="F37" s="481">
        <f>SUM(F31:F33)</f>
        <v>3.5532407407407405E-3</v>
      </c>
      <c r="G37" s="481">
        <f>SUM(G31:G33)</f>
        <v>4.3749999999999997E-2</v>
      </c>
      <c r="H37" s="481">
        <f>SUM(H31:H33)</f>
        <v>1.1805555555555555E-2</v>
      </c>
    </row>
  </sheetData>
  <mergeCells count="1">
    <mergeCell ref="P13:P21"/>
  </mergeCells>
  <hyperlinks>
    <hyperlink ref="O13" r:id="rId1" xr:uid="{F10E7ED3-A07C-4A16-A45F-AA9A75842B57}"/>
    <hyperlink ref="O14" r:id="rId2" xr:uid="{11B3244A-2D62-4C66-B6D6-2E73870CCB60}"/>
    <hyperlink ref="O15" r:id="rId3" xr:uid="{98F3F7CF-7A2D-44CF-96E7-F3C2533BB91C}"/>
    <hyperlink ref="O16" r:id="rId4" xr:uid="{F80A5E90-B1B0-4FC2-B84E-7ECC6BF3DF2C}"/>
    <hyperlink ref="O17" r:id="rId5" xr:uid="{8B2C6947-0739-49FC-B64B-24094E090DB6}"/>
    <hyperlink ref="O19" r:id="rId6" xr:uid="{796245D4-B22E-42F6-8044-B99C7DC3A9B4}"/>
    <hyperlink ref="O20" r:id="rId7" xr:uid="{C21DADCE-45BF-4E71-ADF6-99DD86191524}"/>
    <hyperlink ref="O21" r:id="rId8" xr:uid="{268CFCA2-BD45-4C8B-B352-0104C2C6540A}"/>
    <hyperlink ref="O28" r:id="rId9" xr:uid="{4A93E823-BD6F-4F6B-B64F-721419E38A0F}"/>
  </hyperlinks>
  <pageMargins left="0.7" right="0.7" top="0.75" bottom="0.75" header="0.3" footer="0.3"/>
  <pageSetup paperSize="9" orientation="portrait"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9734-C2A0-4110-99AE-7B55C611D82C}">
  <dimension ref="A1:M78"/>
  <sheetViews>
    <sheetView topLeftCell="B1" zoomScale="85" zoomScaleNormal="85" workbookViewId="0">
      <pane ySplit="3" topLeftCell="A28" activePane="bottomLeft" state="frozen"/>
      <selection pane="bottomLeft" activeCell="D58" sqref="D58"/>
    </sheetView>
  </sheetViews>
  <sheetFormatPr defaultRowHeight="14.5"/>
  <cols>
    <col min="1" max="1" width="14.1796875" customWidth="1"/>
    <col min="2" max="2" width="29.81640625" customWidth="1"/>
    <col min="3" max="3" width="12.26953125" customWidth="1"/>
    <col min="4" max="4" width="11.81640625" bestFit="1" customWidth="1"/>
    <col min="5" max="5" width="8.81640625" bestFit="1" customWidth="1"/>
    <col min="6" max="6" width="16.81640625" customWidth="1"/>
    <col min="7" max="7" width="13.81640625" customWidth="1"/>
    <col min="8" max="8" width="15.26953125" customWidth="1"/>
    <col min="9" max="9" width="12.81640625" customWidth="1"/>
    <col min="10" max="10" width="12.26953125" customWidth="1"/>
    <col min="11" max="11" width="12.26953125" style="182" customWidth="1"/>
    <col min="12" max="12" width="120.26953125" bestFit="1" customWidth="1"/>
  </cols>
  <sheetData>
    <row r="1" spans="1:13">
      <c r="B1" s="131" t="s">
        <v>532</v>
      </c>
      <c r="E1" s="582" t="s">
        <v>600</v>
      </c>
      <c r="F1" s="588"/>
      <c r="G1" s="583"/>
      <c r="H1" s="582" t="s">
        <v>601</v>
      </c>
      <c r="I1" s="583"/>
      <c r="J1" s="170"/>
      <c r="K1" s="181"/>
    </row>
    <row r="2" spans="1:13">
      <c r="C2" s="7" t="s">
        <v>515</v>
      </c>
      <c r="D2" s="7" t="s">
        <v>356</v>
      </c>
      <c r="E2" s="584" t="s">
        <v>533</v>
      </c>
      <c r="F2" s="585"/>
      <c r="G2" s="99" t="s">
        <v>511</v>
      </c>
      <c r="H2" s="169"/>
      <c r="I2" s="2"/>
    </row>
    <row r="3" spans="1:13">
      <c r="A3" s="145" t="s">
        <v>508</v>
      </c>
      <c r="B3" s="146" t="s">
        <v>493</v>
      </c>
      <c r="C3" s="146" t="s">
        <v>501</v>
      </c>
      <c r="D3" s="146" t="s">
        <v>502</v>
      </c>
      <c r="E3" s="146" t="s">
        <v>494</v>
      </c>
      <c r="F3" s="146" t="s">
        <v>506</v>
      </c>
      <c r="G3" s="146" t="s">
        <v>509</v>
      </c>
      <c r="H3" s="146" t="s">
        <v>602</v>
      </c>
      <c r="I3" s="146" t="s">
        <v>495</v>
      </c>
      <c r="J3" s="146" t="s">
        <v>594</v>
      </c>
      <c r="K3" s="183" t="s">
        <v>597</v>
      </c>
      <c r="L3" s="145" t="s">
        <v>356</v>
      </c>
    </row>
    <row r="4" spans="1:13">
      <c r="A4" s="173" t="s">
        <v>385</v>
      </c>
      <c r="B4" s="165" t="s">
        <v>496</v>
      </c>
      <c r="C4" s="165">
        <v>6000</v>
      </c>
      <c r="D4" s="165">
        <v>1000</v>
      </c>
      <c r="E4" s="166">
        <v>0.16666666666666666</v>
      </c>
      <c r="F4" s="166">
        <v>5.2083333333333336E-2</v>
      </c>
      <c r="G4" s="167">
        <v>0.14583333333333334</v>
      </c>
      <c r="H4" s="166"/>
      <c r="I4" s="166">
        <v>0.23611111111111113</v>
      </c>
      <c r="J4" s="2" t="s">
        <v>592</v>
      </c>
      <c r="K4" s="184"/>
      <c r="L4" s="165" t="s">
        <v>358</v>
      </c>
    </row>
    <row r="5" spans="1:13">
      <c r="A5" s="2"/>
      <c r="B5" s="2" t="s">
        <v>497</v>
      </c>
      <c r="C5" s="2">
        <v>13</v>
      </c>
      <c r="D5" s="99" t="s">
        <v>507</v>
      </c>
      <c r="E5" s="134">
        <v>3.472222222222222E-3</v>
      </c>
      <c r="F5" s="135">
        <v>6.9444444444444447E-4</v>
      </c>
      <c r="G5" s="134">
        <v>1.5972222222222224E-2</v>
      </c>
      <c r="H5" s="135"/>
      <c r="I5" s="134">
        <v>3.472222222222222E-3</v>
      </c>
      <c r="J5" s="2" t="s">
        <v>592</v>
      </c>
      <c r="K5" s="184"/>
      <c r="L5" s="2" t="s">
        <v>514</v>
      </c>
    </row>
    <row r="6" spans="1:13">
      <c r="A6" s="2"/>
      <c r="B6" s="133" t="s">
        <v>498</v>
      </c>
      <c r="C6" s="2">
        <v>110</v>
      </c>
      <c r="D6" s="2">
        <v>21</v>
      </c>
      <c r="E6" s="134">
        <v>6.9444444444444441E-3</v>
      </c>
      <c r="F6" s="135">
        <v>2.0833333333333333E-3</v>
      </c>
      <c r="G6" s="147">
        <v>3.4722222222222224E-2</v>
      </c>
      <c r="H6" s="135"/>
      <c r="I6" s="148">
        <v>8.3333333333333332E-3</v>
      </c>
      <c r="J6" s="2" t="s">
        <v>592</v>
      </c>
      <c r="K6" s="184"/>
      <c r="L6" s="83" t="s">
        <v>529</v>
      </c>
    </row>
    <row r="7" spans="1:13" s="211" customFormat="1">
      <c r="A7" s="205"/>
      <c r="B7" s="205" t="s">
        <v>499</v>
      </c>
      <c r="C7" s="205">
        <v>400</v>
      </c>
      <c r="D7" s="205">
        <v>73</v>
      </c>
      <c r="E7" s="206">
        <v>2.4305555555555556E-2</v>
      </c>
      <c r="F7" s="206">
        <v>1.3888888888888888E-2</v>
      </c>
      <c r="G7" s="207">
        <v>0.12152777777777778</v>
      </c>
      <c r="H7" s="206"/>
      <c r="I7" s="207">
        <v>2.4305555555555556E-2</v>
      </c>
      <c r="J7" s="208"/>
      <c r="K7" s="209"/>
      <c r="L7" s="205" t="s">
        <v>531</v>
      </c>
      <c r="M7" s="210"/>
    </row>
    <row r="8" spans="1:13">
      <c r="A8" s="2"/>
      <c r="B8" s="133" t="s">
        <v>537</v>
      </c>
      <c r="C8" s="2"/>
      <c r="D8" s="2">
        <v>9.2999999999999999E-2</v>
      </c>
      <c r="E8" s="134">
        <v>6.9444444444444447E-4</v>
      </c>
      <c r="F8" s="135"/>
      <c r="G8" s="147"/>
      <c r="H8" s="135"/>
      <c r="I8" s="148">
        <v>1.0416666666666666E-2</v>
      </c>
      <c r="J8" s="2" t="s">
        <v>592</v>
      </c>
      <c r="K8" s="184"/>
      <c r="L8" s="133" t="s">
        <v>596</v>
      </c>
    </row>
    <row r="9" spans="1:13">
      <c r="A9" s="2"/>
      <c r="B9" s="133" t="s">
        <v>538</v>
      </c>
      <c r="C9" s="2"/>
      <c r="D9" s="2">
        <v>55</v>
      </c>
      <c r="E9" s="134">
        <v>1.1805555555555555E-2</v>
      </c>
      <c r="F9" s="135"/>
      <c r="G9" s="147"/>
      <c r="H9" s="135"/>
      <c r="I9" s="148">
        <v>2.0833333333333332E-2</v>
      </c>
      <c r="J9" s="2" t="s">
        <v>592</v>
      </c>
      <c r="K9" s="184"/>
      <c r="L9" s="133" t="s">
        <v>596</v>
      </c>
    </row>
    <row r="10" spans="1:13">
      <c r="A10" s="2"/>
      <c r="B10" s="2" t="s">
        <v>539</v>
      </c>
      <c r="C10" s="2"/>
      <c r="D10" s="2"/>
      <c r="E10" s="134"/>
      <c r="F10" s="135"/>
      <c r="G10" s="134"/>
      <c r="H10" s="135"/>
      <c r="I10" s="134">
        <v>6.9444444444444441E-3</v>
      </c>
      <c r="J10" s="2" t="s">
        <v>592</v>
      </c>
      <c r="K10" s="184"/>
      <c r="L10" s="133" t="s">
        <v>596</v>
      </c>
    </row>
    <row r="11" spans="1:13">
      <c r="A11" s="25"/>
      <c r="B11" s="2" t="s">
        <v>496</v>
      </c>
      <c r="C11" s="133">
        <v>6000</v>
      </c>
      <c r="D11" s="133">
        <v>1000</v>
      </c>
      <c r="E11" s="134">
        <v>0.16666666666666666</v>
      </c>
      <c r="F11" s="135"/>
      <c r="G11" s="134"/>
      <c r="H11" s="135"/>
      <c r="I11" s="134">
        <v>0.4236111111111111</v>
      </c>
      <c r="J11" s="134" t="s">
        <v>595</v>
      </c>
      <c r="K11" s="184"/>
      <c r="L11" s="133" t="s">
        <v>596</v>
      </c>
    </row>
    <row r="12" spans="1:13">
      <c r="A12" s="25"/>
      <c r="B12" s="2" t="s">
        <v>503</v>
      </c>
      <c r="C12" s="2">
        <v>1200</v>
      </c>
      <c r="D12" s="2">
        <v>97</v>
      </c>
      <c r="E12" s="134">
        <v>1.9444444444444445E-2</v>
      </c>
      <c r="F12" s="135"/>
      <c r="G12" s="152">
        <v>0.10416666666666667</v>
      </c>
      <c r="H12" s="135"/>
      <c r="I12" s="134"/>
      <c r="J12" s="134" t="s">
        <v>595</v>
      </c>
      <c r="K12" s="184"/>
      <c r="L12" s="133" t="s">
        <v>596</v>
      </c>
    </row>
    <row r="13" spans="1:13">
      <c r="A13" s="25"/>
      <c r="B13" s="2" t="s">
        <v>504</v>
      </c>
      <c r="C13" s="2">
        <v>5</v>
      </c>
      <c r="D13" s="2">
        <v>3</v>
      </c>
      <c r="E13" s="134">
        <v>2.7777777777777779E-3</v>
      </c>
      <c r="F13" s="135"/>
      <c r="G13" s="134">
        <v>5.5555555555555558E-3</v>
      </c>
      <c r="H13" s="135"/>
      <c r="I13" s="134"/>
      <c r="J13" s="134" t="s">
        <v>595</v>
      </c>
      <c r="K13" s="184"/>
      <c r="L13" s="133" t="s">
        <v>596</v>
      </c>
    </row>
    <row r="14" spans="1:13">
      <c r="A14" s="174"/>
      <c r="B14" s="175" t="s">
        <v>505</v>
      </c>
      <c r="C14" s="175">
        <v>0.2</v>
      </c>
      <c r="D14" s="175">
        <v>5.0000000000000001E-3</v>
      </c>
      <c r="E14" s="176">
        <v>6.9444444444444447E-4</v>
      </c>
      <c r="F14" s="177"/>
      <c r="G14" s="176">
        <v>6.9444444444444447E-4</v>
      </c>
      <c r="H14" s="177"/>
      <c r="I14" s="176"/>
      <c r="J14" s="176" t="s">
        <v>595</v>
      </c>
      <c r="K14" s="185"/>
      <c r="L14" s="178" t="s">
        <v>596</v>
      </c>
    </row>
    <row r="15" spans="1:13">
      <c r="A15" s="195" t="s">
        <v>385</v>
      </c>
      <c r="B15" s="2" t="s">
        <v>497</v>
      </c>
      <c r="C15" s="2">
        <v>13</v>
      </c>
      <c r="D15" s="99" t="s">
        <v>507</v>
      </c>
      <c r="E15" s="176"/>
      <c r="F15" s="177"/>
      <c r="G15" s="176"/>
      <c r="H15" s="134">
        <v>1.3888888888888889E-3</v>
      </c>
      <c r="I15" s="176"/>
      <c r="J15" s="2" t="s">
        <v>592</v>
      </c>
      <c r="K15" s="185">
        <v>45645</v>
      </c>
      <c r="L15" s="178"/>
    </row>
    <row r="16" spans="1:13">
      <c r="A16" s="174"/>
      <c r="B16" s="133" t="s">
        <v>498</v>
      </c>
      <c r="C16" s="2">
        <v>110</v>
      </c>
      <c r="D16" s="2">
        <v>21</v>
      </c>
      <c r="E16" s="176"/>
      <c r="F16" s="177"/>
      <c r="G16" s="176"/>
      <c r="H16" s="134">
        <v>1.4583333333333334E-2</v>
      </c>
      <c r="I16" s="176"/>
      <c r="J16" s="2" t="s">
        <v>592</v>
      </c>
      <c r="K16" s="185">
        <v>45645</v>
      </c>
      <c r="L16" s="178"/>
    </row>
    <row r="17" spans="1:12">
      <c r="A17" s="174"/>
      <c r="B17" s="133" t="s">
        <v>537</v>
      </c>
      <c r="C17" s="2">
        <v>0.28000000000000003</v>
      </c>
      <c r="D17" s="2">
        <v>9.2999999999999999E-2</v>
      </c>
      <c r="E17" s="176"/>
      <c r="F17" s="177"/>
      <c r="G17" s="176"/>
      <c r="H17" s="134">
        <v>6.9444444444444447E-4</v>
      </c>
      <c r="I17" s="176"/>
      <c r="J17" s="2" t="s">
        <v>592</v>
      </c>
      <c r="K17" s="185">
        <v>45645</v>
      </c>
      <c r="L17" s="178"/>
    </row>
    <row r="18" spans="1:12">
      <c r="A18" s="174"/>
      <c r="B18" s="133" t="s">
        <v>538</v>
      </c>
      <c r="C18" s="2">
        <v>57.5</v>
      </c>
      <c r="D18" s="2">
        <v>55</v>
      </c>
      <c r="E18" s="176"/>
      <c r="F18" s="177"/>
      <c r="G18" s="176"/>
      <c r="H18" s="134">
        <v>9.7222222222222224E-3</v>
      </c>
      <c r="I18" s="176"/>
      <c r="J18" s="2" t="s">
        <v>592</v>
      </c>
      <c r="K18" s="185">
        <v>45645</v>
      </c>
      <c r="L18" s="178"/>
    </row>
    <row r="19" spans="1:12">
      <c r="A19" s="174"/>
      <c r="B19" s="2" t="s">
        <v>539</v>
      </c>
      <c r="C19" s="2">
        <v>12.25</v>
      </c>
      <c r="D19" s="2">
        <v>5</v>
      </c>
      <c r="E19" s="176"/>
      <c r="F19" s="177"/>
      <c r="G19" s="176"/>
      <c r="H19" s="134">
        <v>1.3888888888888889E-3</v>
      </c>
      <c r="I19" s="176"/>
      <c r="J19" s="2" t="s">
        <v>592</v>
      </c>
      <c r="K19" s="185">
        <v>45645</v>
      </c>
      <c r="L19" s="178"/>
    </row>
    <row r="20" spans="1:12">
      <c r="A20" s="174"/>
      <c r="B20" s="2" t="s">
        <v>496</v>
      </c>
      <c r="C20" s="133">
        <v>6000</v>
      </c>
      <c r="D20" s="133">
        <v>1000</v>
      </c>
      <c r="E20" s="176"/>
      <c r="F20" s="177"/>
      <c r="G20" s="176"/>
      <c r="H20" s="134">
        <v>0.57499999999999996</v>
      </c>
      <c r="I20" s="176"/>
      <c r="J20" s="2" t="s">
        <v>592</v>
      </c>
      <c r="K20" s="185">
        <v>45645</v>
      </c>
      <c r="L20" s="178"/>
    </row>
    <row r="21" spans="1:12">
      <c r="A21" s="174"/>
      <c r="B21" s="2" t="s">
        <v>503</v>
      </c>
      <c r="C21" s="2">
        <v>1200</v>
      </c>
      <c r="D21" s="2">
        <v>97</v>
      </c>
      <c r="E21" s="176"/>
      <c r="F21" s="177"/>
      <c r="G21" s="176"/>
      <c r="H21" s="134">
        <v>5.7638888888888892E-2</v>
      </c>
      <c r="I21" s="176"/>
      <c r="J21" s="2" t="s">
        <v>592</v>
      </c>
      <c r="K21" s="185">
        <v>45645</v>
      </c>
      <c r="L21" s="178"/>
    </row>
    <row r="22" spans="1:12" s="2" customFormat="1">
      <c r="B22" s="2" t="s">
        <v>504</v>
      </c>
      <c r="C22" s="2">
        <v>5</v>
      </c>
      <c r="D22" s="2">
        <v>3</v>
      </c>
      <c r="E22" s="134"/>
      <c r="F22" s="135"/>
      <c r="G22" s="134"/>
      <c r="H22" s="134">
        <v>6.9444444444444447E-4</v>
      </c>
      <c r="I22" s="134"/>
      <c r="J22" s="2" t="s">
        <v>592</v>
      </c>
      <c r="K22" s="185">
        <v>45645</v>
      </c>
      <c r="L22" s="133"/>
    </row>
    <row r="23" spans="1:12" s="2" customFormat="1">
      <c r="B23" s="2" t="s">
        <v>505</v>
      </c>
      <c r="C23" s="2">
        <v>0.2</v>
      </c>
      <c r="D23" s="2">
        <v>5.0000000000000001E-3</v>
      </c>
      <c r="E23" s="134"/>
      <c r="F23" s="135"/>
      <c r="G23" s="134"/>
      <c r="H23" s="134">
        <v>1.3888888888888889E-3</v>
      </c>
      <c r="I23" s="134"/>
      <c r="J23" s="2" t="s">
        <v>592</v>
      </c>
      <c r="K23" s="185">
        <v>45645</v>
      </c>
      <c r="L23" s="133"/>
    </row>
    <row r="24" spans="1:12" s="2" customFormat="1">
      <c r="B24" s="164" t="s">
        <v>599</v>
      </c>
      <c r="H24" s="134">
        <v>6.9444444444444447E-4</v>
      </c>
      <c r="J24" s="2" t="s">
        <v>592</v>
      </c>
      <c r="K24" s="185">
        <v>45645</v>
      </c>
    </row>
    <row r="25" spans="1:12">
      <c r="A25" s="586" t="s">
        <v>530</v>
      </c>
      <c r="B25" s="587"/>
      <c r="C25" s="179">
        <f>SUM(C5:C14)</f>
        <v>7728.2</v>
      </c>
      <c r="D25" s="179">
        <f>SUM(D5:D14)</f>
        <v>1249.0980000000002</v>
      </c>
      <c r="E25" s="180">
        <f>SUM(E5:E14)</f>
        <v>0.23680555555555555</v>
      </c>
      <c r="F25" s="180">
        <f>SUM(F5:F14)</f>
        <v>1.6666666666666666E-2</v>
      </c>
      <c r="G25" s="180">
        <f>SUM(G5:G14)</f>
        <v>0.28263888888888888</v>
      </c>
      <c r="H25" s="136">
        <f>SUM(H15:H24)</f>
        <v>0.66319444444444442</v>
      </c>
      <c r="I25" s="180">
        <f>SUM(I5:I14)</f>
        <v>0.49791666666666667</v>
      </c>
      <c r="J25" s="192"/>
      <c r="K25" s="187"/>
      <c r="L25" s="193"/>
    </row>
    <row r="26" spans="1:12" s="127" customFormat="1" ht="3.75" customHeight="1">
      <c r="A26" s="138"/>
      <c r="B26" s="139"/>
      <c r="C26" s="140"/>
      <c r="D26" s="140"/>
      <c r="E26" s="141"/>
      <c r="F26" s="142"/>
      <c r="G26" s="141"/>
      <c r="H26" s="142"/>
      <c r="I26" s="141"/>
      <c r="J26" s="141"/>
      <c r="K26" s="194"/>
      <c r="L26" s="140"/>
    </row>
    <row r="27" spans="1:12">
      <c r="A27" s="173" t="s">
        <v>598</v>
      </c>
      <c r="B27" s="2" t="s">
        <v>497</v>
      </c>
      <c r="C27" s="2">
        <v>13</v>
      </c>
      <c r="D27" s="99" t="s">
        <v>507</v>
      </c>
      <c r="E27" s="134"/>
      <c r="F27" s="135"/>
      <c r="G27" s="134"/>
      <c r="H27" s="135"/>
      <c r="I27" s="134">
        <v>4.8611111111111112E-3</v>
      </c>
      <c r="J27" s="134" t="s">
        <v>595</v>
      </c>
      <c r="K27" s="185">
        <v>45645</v>
      </c>
      <c r="L27" s="2"/>
    </row>
    <row r="28" spans="1:12">
      <c r="A28" s="2"/>
      <c r="B28" s="133" t="s">
        <v>498</v>
      </c>
      <c r="C28" s="2">
        <v>110</v>
      </c>
      <c r="D28" s="2">
        <v>21</v>
      </c>
      <c r="E28" s="134"/>
      <c r="F28" s="135"/>
      <c r="G28" s="134"/>
      <c r="H28" s="135"/>
      <c r="I28" s="134">
        <v>6.9444444444444441E-3</v>
      </c>
      <c r="J28" s="134" t="s">
        <v>595</v>
      </c>
      <c r="K28" s="185">
        <v>45645</v>
      </c>
      <c r="L28" s="2"/>
    </row>
    <row r="29" spans="1:12">
      <c r="A29" s="2"/>
      <c r="B29" s="133" t="s">
        <v>537</v>
      </c>
      <c r="C29" s="2">
        <v>0.28000000000000003</v>
      </c>
      <c r="D29" s="2">
        <v>9.2999999999999999E-2</v>
      </c>
      <c r="E29" s="134"/>
      <c r="F29" s="135"/>
      <c r="G29" s="134"/>
      <c r="H29" s="135"/>
      <c r="I29" s="134">
        <v>6.9444444444444447E-4</v>
      </c>
      <c r="J29" s="134" t="s">
        <v>595</v>
      </c>
      <c r="K29" s="185">
        <v>45645</v>
      </c>
      <c r="L29" s="2"/>
    </row>
    <row r="30" spans="1:12">
      <c r="A30" s="2"/>
      <c r="B30" s="133" t="s">
        <v>538</v>
      </c>
      <c r="C30" s="2">
        <v>57.5</v>
      </c>
      <c r="D30" s="2">
        <v>55</v>
      </c>
      <c r="E30" s="134"/>
      <c r="F30" s="135"/>
      <c r="G30" s="134"/>
      <c r="H30" s="135"/>
      <c r="I30" s="148">
        <v>1.9444444444444445E-2</v>
      </c>
      <c r="J30" s="134" t="s">
        <v>595</v>
      </c>
      <c r="K30" s="185">
        <v>45645</v>
      </c>
      <c r="L30" s="2"/>
    </row>
    <row r="31" spans="1:12">
      <c r="A31" s="2"/>
      <c r="B31" s="2" t="s">
        <v>539</v>
      </c>
      <c r="C31" s="2">
        <v>12.25</v>
      </c>
      <c r="D31" s="2">
        <v>5</v>
      </c>
      <c r="E31" s="134"/>
      <c r="F31" s="135"/>
      <c r="G31" s="134"/>
      <c r="H31" s="135"/>
      <c r="I31" s="134">
        <v>4.8611111111111112E-3</v>
      </c>
      <c r="J31" s="134" t="s">
        <v>595</v>
      </c>
      <c r="K31" s="185">
        <v>45645</v>
      </c>
      <c r="L31" s="2"/>
    </row>
    <row r="32" spans="1:12">
      <c r="A32" s="25"/>
      <c r="B32" s="2" t="s">
        <v>496</v>
      </c>
      <c r="C32" s="133">
        <v>6000</v>
      </c>
      <c r="D32" s="133">
        <v>1000</v>
      </c>
      <c r="E32" s="134"/>
      <c r="F32" s="135"/>
      <c r="G32" s="134"/>
      <c r="H32" s="135"/>
      <c r="I32" s="134">
        <v>0.5625</v>
      </c>
      <c r="J32" s="2" t="s">
        <v>592</v>
      </c>
      <c r="K32" s="185">
        <v>45645</v>
      </c>
      <c r="L32" s="2"/>
    </row>
    <row r="33" spans="1:12">
      <c r="A33" s="25"/>
      <c r="B33" s="2" t="s">
        <v>503</v>
      </c>
      <c r="C33" s="2">
        <v>1200</v>
      </c>
      <c r="D33" s="2">
        <v>97</v>
      </c>
      <c r="E33" s="134"/>
      <c r="F33" s="135"/>
      <c r="G33" s="134"/>
      <c r="H33" s="135"/>
      <c r="I33" s="134">
        <v>7.2916666666666671E-2</v>
      </c>
      <c r="J33" s="134" t="s">
        <v>595</v>
      </c>
      <c r="K33" s="185">
        <v>45645</v>
      </c>
      <c r="L33" s="2"/>
    </row>
    <row r="34" spans="1:12">
      <c r="A34" s="25"/>
      <c r="B34" s="2" t="s">
        <v>504</v>
      </c>
      <c r="C34" s="2">
        <v>5</v>
      </c>
      <c r="D34" s="2">
        <v>3</v>
      </c>
      <c r="E34" s="2"/>
      <c r="F34" s="135"/>
      <c r="G34" s="134"/>
      <c r="H34" s="134"/>
      <c r="I34" s="134">
        <v>2.0833333333333333E-3</v>
      </c>
      <c r="J34" s="134" t="s">
        <v>595</v>
      </c>
      <c r="K34" s="185">
        <v>45645</v>
      </c>
      <c r="L34" s="2"/>
    </row>
    <row r="35" spans="1:12">
      <c r="A35" s="25"/>
      <c r="B35" s="2" t="s">
        <v>505</v>
      </c>
      <c r="C35" s="2">
        <v>0.2</v>
      </c>
      <c r="D35" s="2">
        <v>5.0000000000000001E-3</v>
      </c>
      <c r="E35" s="2"/>
      <c r="F35" s="135"/>
      <c r="G35" s="134"/>
      <c r="H35" s="134"/>
      <c r="I35" s="134">
        <v>6.9444444444444447E-4</v>
      </c>
      <c r="J35" s="134" t="s">
        <v>595</v>
      </c>
      <c r="K35" s="185">
        <v>45645</v>
      </c>
      <c r="L35" s="2"/>
    </row>
    <row r="36" spans="1:12">
      <c r="A36" s="25"/>
      <c r="B36" s="164" t="s">
        <v>599</v>
      </c>
      <c r="C36" s="2"/>
      <c r="D36" s="2"/>
      <c r="E36" s="134"/>
      <c r="F36" s="135"/>
      <c r="G36" s="134"/>
      <c r="H36" s="135"/>
      <c r="I36" s="134">
        <v>6.9444444444444447E-4</v>
      </c>
      <c r="J36" s="134" t="s">
        <v>595</v>
      </c>
      <c r="K36" s="185">
        <v>45645</v>
      </c>
      <c r="L36" s="2"/>
    </row>
    <row r="37" spans="1:12">
      <c r="A37" s="580" t="s">
        <v>530</v>
      </c>
      <c r="B37" s="581"/>
      <c r="C37" s="132">
        <f>SUM(C26:C36)</f>
        <v>7398.23</v>
      </c>
      <c r="D37" s="132">
        <f>SUM(D26:D36)</f>
        <v>1181.0980000000002</v>
      </c>
      <c r="E37" s="136">
        <f>SUM(E27:E36)</f>
        <v>0</v>
      </c>
      <c r="F37" s="136">
        <f>SUM(F27:F36)</f>
        <v>0</v>
      </c>
      <c r="G37" s="136">
        <f>SUM(G27:G36)</f>
        <v>0</v>
      </c>
      <c r="H37" s="136">
        <f>SUM(H27:H36)</f>
        <v>0</v>
      </c>
      <c r="I37" s="136">
        <f>SUM(I27:I36)</f>
        <v>0.67569444444444438</v>
      </c>
      <c r="J37" s="136"/>
      <c r="K37" s="187"/>
      <c r="L37" s="2"/>
    </row>
    <row r="38" spans="1:12" s="127" customFormat="1" ht="3.75" customHeight="1">
      <c r="A38" s="138"/>
      <c r="B38" s="139"/>
      <c r="C38" s="140"/>
      <c r="D38" s="140"/>
      <c r="E38" s="141"/>
      <c r="F38" s="142"/>
      <c r="G38" s="141"/>
      <c r="H38" s="142"/>
      <c r="I38" s="141"/>
      <c r="J38" s="141"/>
      <c r="K38" s="186"/>
      <c r="L38" s="140"/>
    </row>
    <row r="39" spans="1:12">
      <c r="A39" s="173" t="s">
        <v>500</v>
      </c>
      <c r="B39" s="2" t="s">
        <v>503</v>
      </c>
      <c r="C39" s="2">
        <v>1200</v>
      </c>
      <c r="D39" s="2">
        <v>97</v>
      </c>
      <c r="E39" s="134">
        <v>1.9444444444444445E-2</v>
      </c>
      <c r="F39" s="135">
        <v>6.9444444444444441E-3</v>
      </c>
      <c r="G39" s="152">
        <v>0.10416666666666667</v>
      </c>
      <c r="H39" s="135"/>
      <c r="I39" s="134">
        <v>9.0277777777777776E-2</v>
      </c>
      <c r="J39" s="134" t="s">
        <v>595</v>
      </c>
      <c r="K39" s="184"/>
      <c r="L39" s="2" t="s">
        <v>357</v>
      </c>
    </row>
    <row r="40" spans="1:12">
      <c r="A40" s="2"/>
      <c r="B40" s="2" t="s">
        <v>504</v>
      </c>
      <c r="C40" s="2">
        <v>5</v>
      </c>
      <c r="D40" s="2">
        <v>3</v>
      </c>
      <c r="E40" s="134">
        <v>2.7777777777777779E-3</v>
      </c>
      <c r="F40" s="135">
        <v>6.9444444444444447E-4</v>
      </c>
      <c r="G40" s="134">
        <v>5.5555555555555558E-3</v>
      </c>
      <c r="H40" s="135"/>
      <c r="I40" s="134">
        <v>3.472222222222222E-3</v>
      </c>
      <c r="J40" s="134" t="s">
        <v>595</v>
      </c>
      <c r="K40" s="184"/>
      <c r="L40" s="2" t="s">
        <v>513</v>
      </c>
    </row>
    <row r="41" spans="1:12">
      <c r="A41" s="2"/>
      <c r="B41" s="2" t="s">
        <v>505</v>
      </c>
      <c r="C41" s="2">
        <v>0.2</v>
      </c>
      <c r="D41" s="2">
        <v>5.0000000000000001E-3</v>
      </c>
      <c r="E41" s="134">
        <v>6.9444444444444447E-4</v>
      </c>
      <c r="F41" s="135">
        <v>0</v>
      </c>
      <c r="G41" s="134">
        <v>6.9444444444444447E-4</v>
      </c>
      <c r="H41" s="135"/>
      <c r="I41" s="134">
        <v>3.472222222222222E-3</v>
      </c>
      <c r="J41" s="134" t="s">
        <v>595</v>
      </c>
      <c r="K41" s="184"/>
      <c r="L41" s="2" t="s">
        <v>512</v>
      </c>
    </row>
    <row r="42" spans="1:12">
      <c r="A42" s="2"/>
      <c r="B42" s="2"/>
      <c r="C42" s="2"/>
      <c r="D42" s="2"/>
      <c r="E42" s="134"/>
      <c r="F42" s="135"/>
      <c r="G42" s="134"/>
      <c r="H42" s="135"/>
      <c r="I42" s="134"/>
      <c r="J42" s="134"/>
      <c r="K42" s="184"/>
      <c r="L42" s="2"/>
    </row>
    <row r="43" spans="1:12">
      <c r="A43" s="580" t="s">
        <v>530</v>
      </c>
      <c r="B43" s="581"/>
      <c r="C43" s="132">
        <f t="shared" ref="C43:I43" si="0">SUM(C39:C42)</f>
        <v>1205.2</v>
      </c>
      <c r="D43" s="132">
        <f t="shared" si="0"/>
        <v>100.005</v>
      </c>
      <c r="E43" s="136">
        <f t="shared" si="0"/>
        <v>2.2916666666666669E-2</v>
      </c>
      <c r="F43" s="137">
        <f t="shared" si="0"/>
        <v>7.6388888888888886E-3</v>
      </c>
      <c r="G43" s="153">
        <f>SUM(G39:G42)</f>
        <v>0.11041666666666666</v>
      </c>
      <c r="H43" s="137"/>
      <c r="I43" s="136">
        <f t="shared" si="0"/>
        <v>9.7222222222222224E-2</v>
      </c>
      <c r="J43" s="136"/>
      <c r="K43" s="187"/>
      <c r="L43" s="2"/>
    </row>
    <row r="44" spans="1:12" s="127" customFormat="1" ht="3.75" customHeight="1">
      <c r="A44" s="138"/>
      <c r="B44" s="139"/>
      <c r="C44" s="140"/>
      <c r="D44" s="140"/>
      <c r="E44" s="141"/>
      <c r="F44" s="142"/>
      <c r="G44" s="141"/>
      <c r="H44" s="142"/>
      <c r="I44" s="141"/>
      <c r="J44" s="141"/>
      <c r="K44" s="186"/>
      <c r="L44" s="140"/>
    </row>
    <row r="45" spans="1:12">
      <c r="A45" s="173" t="s">
        <v>1051</v>
      </c>
      <c r="B45" s="2" t="s">
        <v>1050</v>
      </c>
      <c r="C45" s="2"/>
      <c r="D45" s="2">
        <v>550</v>
      </c>
      <c r="E45" s="134">
        <v>0.10416666666666667</v>
      </c>
      <c r="F45" s="135"/>
      <c r="G45" s="134"/>
      <c r="H45" s="135"/>
      <c r="I45" s="134"/>
      <c r="J45" s="134" t="s">
        <v>595</v>
      </c>
      <c r="K45" s="184">
        <v>45734</v>
      </c>
      <c r="L45" s="2"/>
    </row>
    <row r="46" spans="1:12" ht="5.25" customHeight="1">
      <c r="A46" s="2"/>
      <c r="B46" s="2"/>
      <c r="C46" s="2"/>
      <c r="D46" s="2"/>
      <c r="E46" s="134"/>
      <c r="F46" s="135"/>
      <c r="G46" s="134"/>
      <c r="H46" s="135"/>
      <c r="I46" s="134"/>
      <c r="J46" s="134"/>
      <c r="K46" s="184"/>
      <c r="L46" s="2"/>
    </row>
    <row r="47" spans="1:12">
      <c r="A47" s="580" t="s">
        <v>530</v>
      </c>
      <c r="B47" s="581"/>
      <c r="C47" s="132"/>
      <c r="D47" s="132"/>
      <c r="E47" s="136"/>
      <c r="F47" s="137"/>
      <c r="G47" s="153"/>
      <c r="H47" s="137"/>
      <c r="I47" s="136"/>
      <c r="J47" s="136"/>
      <c r="K47" s="187"/>
      <c r="L47" s="2"/>
    </row>
    <row r="48" spans="1:12" ht="3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</row>
    <row r="49" spans="1:11">
      <c r="A49" s="432"/>
      <c r="E49" s="144"/>
      <c r="F49" s="144"/>
      <c r="G49" s="144"/>
      <c r="H49" s="144"/>
      <c r="I49" s="144"/>
      <c r="J49" s="144"/>
    </row>
    <row r="50" spans="1:11">
      <c r="A50" s="432"/>
      <c r="B50" s="2" t="s">
        <v>496</v>
      </c>
      <c r="E50" s="144"/>
      <c r="F50" s="144">
        <v>0.25</v>
      </c>
      <c r="G50" s="144"/>
      <c r="H50" s="144">
        <v>0.22500000000000001</v>
      </c>
      <c r="I50" s="437">
        <v>0.18541666666666667</v>
      </c>
      <c r="J50" s="144"/>
    </row>
    <row r="51" spans="1:11">
      <c r="A51" s="432"/>
      <c r="B51" s="2" t="s">
        <v>90</v>
      </c>
      <c r="E51" s="144"/>
      <c r="F51" s="144"/>
      <c r="G51" s="144"/>
      <c r="H51" s="144"/>
      <c r="I51" s="102">
        <v>2.7777777777777779E-3</v>
      </c>
      <c r="J51" s="144"/>
    </row>
    <row r="52" spans="1:11">
      <c r="A52" s="432"/>
      <c r="B52" s="2" t="s">
        <v>1052</v>
      </c>
      <c r="E52" s="144"/>
      <c r="F52" s="144"/>
      <c r="G52" s="144"/>
      <c r="H52" s="144"/>
      <c r="I52" s="102">
        <v>6.9444444444444447E-4</v>
      </c>
      <c r="J52" s="144"/>
    </row>
    <row r="53" spans="1:11">
      <c r="A53" s="432"/>
      <c r="B53" s="2" t="s">
        <v>503</v>
      </c>
      <c r="E53" s="144"/>
      <c r="F53" s="144">
        <v>3.125E-2</v>
      </c>
      <c r="G53" s="144"/>
      <c r="H53" s="144"/>
      <c r="I53" s="102">
        <v>2.0833333333333332E-2</v>
      </c>
      <c r="J53" s="144"/>
    </row>
    <row r="54" spans="1:11">
      <c r="A54" s="432"/>
      <c r="B54" s="2" t="s">
        <v>504</v>
      </c>
      <c r="E54" s="144"/>
      <c r="F54" s="144"/>
      <c r="G54" s="144"/>
      <c r="H54" s="144"/>
      <c r="I54" s="102">
        <v>1.3888888888888889E-3</v>
      </c>
      <c r="J54" s="144"/>
    </row>
    <row r="55" spans="1:11">
      <c r="B55" s="2" t="s">
        <v>505</v>
      </c>
      <c r="E55" s="144"/>
      <c r="F55" s="144"/>
      <c r="G55" s="144"/>
      <c r="H55" s="144"/>
      <c r="I55" s="102">
        <v>6.9444444444444447E-4</v>
      </c>
      <c r="J55" s="144"/>
    </row>
    <row r="56" spans="1:11">
      <c r="B56" s="438" t="s">
        <v>537</v>
      </c>
      <c r="E56" s="144"/>
      <c r="F56" s="144"/>
      <c r="G56" s="144"/>
      <c r="H56" s="144"/>
      <c r="I56" s="144"/>
      <c r="J56" s="144"/>
    </row>
    <row r="57" spans="1:11">
      <c r="B57" s="133" t="s">
        <v>538</v>
      </c>
      <c r="E57" s="144"/>
      <c r="F57" s="144"/>
      <c r="G57" s="144"/>
      <c r="H57" s="144"/>
      <c r="I57" s="102">
        <v>1.3888888888888889E-3</v>
      </c>
      <c r="J57" s="144"/>
    </row>
    <row r="58" spans="1:11">
      <c r="B58" s="2" t="s">
        <v>1169</v>
      </c>
      <c r="E58" s="144"/>
      <c r="F58" s="144"/>
      <c r="G58" s="144"/>
      <c r="H58" s="144"/>
      <c r="I58" s="144"/>
      <c r="J58" s="144"/>
    </row>
    <row r="59" spans="1:11">
      <c r="B59" s="2" t="s">
        <v>599</v>
      </c>
      <c r="E59" s="144"/>
      <c r="F59" s="144"/>
      <c r="G59" s="144"/>
      <c r="H59" s="144"/>
      <c r="I59" s="144"/>
      <c r="J59" s="144"/>
    </row>
    <row r="60" spans="1:11">
      <c r="B60" t="s">
        <v>498</v>
      </c>
      <c r="E60" s="102">
        <v>1.0416666666666666E-2</v>
      </c>
      <c r="G60" s="149"/>
    </row>
    <row r="61" spans="1:11">
      <c r="G61" s="149"/>
    </row>
    <row r="62" spans="1:11">
      <c r="G62" s="149"/>
    </row>
    <row r="63" spans="1:11">
      <c r="G63" s="149"/>
    </row>
    <row r="64" spans="1:11">
      <c r="I64" s="168"/>
      <c r="J64" s="168"/>
      <c r="K64" s="188"/>
    </row>
    <row r="65" spans="2:12">
      <c r="B65" s="143" t="s">
        <v>510</v>
      </c>
      <c r="C65" s="12">
        <f t="shared" ref="C65:I65" si="1">C43+C37</f>
        <v>8603.43</v>
      </c>
      <c r="D65" s="12">
        <f t="shared" si="1"/>
        <v>1281.1030000000001</v>
      </c>
      <c r="E65" s="144">
        <f t="shared" si="1"/>
        <v>2.2916666666666669E-2</v>
      </c>
      <c r="F65" s="135">
        <f t="shared" si="1"/>
        <v>7.6388888888888886E-3</v>
      </c>
      <c r="G65" s="154">
        <f>G43+G37</f>
        <v>0.11041666666666666</v>
      </c>
      <c r="H65" s="172"/>
      <c r="I65" s="144">
        <f t="shared" si="1"/>
        <v>0.77291666666666659</v>
      </c>
      <c r="J65" s="144"/>
    </row>
    <row r="66" spans="2:12">
      <c r="G66" s="151"/>
      <c r="I66" s="155">
        <f>SUM(E65:I65)</f>
        <v>0.91388888888888875</v>
      </c>
      <c r="J66" s="155"/>
      <c r="K66" s="189"/>
    </row>
    <row r="67" spans="2:12">
      <c r="L67" t="s">
        <v>606</v>
      </c>
    </row>
    <row r="69" spans="2:12">
      <c r="I69" s="150">
        <v>0.25</v>
      </c>
      <c r="J69" s="150"/>
      <c r="K69" s="190"/>
    </row>
    <row r="70" spans="2:12" ht="15" thickBot="1"/>
    <row r="71" spans="2:12" ht="15" thickBot="1">
      <c r="B71" s="157" t="s">
        <v>540</v>
      </c>
      <c r="C71" s="158"/>
      <c r="D71" s="158"/>
      <c r="E71" s="159">
        <v>0.20833333333333334</v>
      </c>
      <c r="F71" s="158"/>
      <c r="G71" s="159">
        <v>0.1875</v>
      </c>
      <c r="H71" s="158"/>
      <c r="I71" s="160">
        <v>0.125</v>
      </c>
      <c r="J71" s="171"/>
      <c r="K71" s="191"/>
      <c r="L71" t="s">
        <v>541</v>
      </c>
    </row>
    <row r="72" spans="2:12">
      <c r="I72" s="155">
        <f>SUM(E71:I71)</f>
        <v>0.52083333333333337</v>
      </c>
      <c r="J72" s="155"/>
      <c r="K72" s="189"/>
    </row>
    <row r="73" spans="2:12">
      <c r="L73" s="22" t="s">
        <v>533</v>
      </c>
    </row>
    <row r="78" spans="2:12">
      <c r="L78" s="22"/>
    </row>
  </sheetData>
  <mergeCells count="7">
    <mergeCell ref="A47:B47"/>
    <mergeCell ref="H1:I1"/>
    <mergeCell ref="A43:B43"/>
    <mergeCell ref="A37:B37"/>
    <mergeCell ref="E2:F2"/>
    <mergeCell ref="A25:B25"/>
    <mergeCell ref="E1:G1"/>
  </mergeCells>
  <phoneticPr fontId="52" type="noConversion"/>
  <hyperlinks>
    <hyperlink ref="E2" r:id="rId1" xr:uid="{5FBB2138-AFA5-49FF-9C93-59D0EAAF766C}"/>
    <hyperlink ref="L73" r:id="rId2" xr:uid="{DA380AB1-6CCA-430A-8EE3-350CD395D355}"/>
  </hyperlink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B2A1-A45B-4F63-812F-0E522282237C}">
  <sheetPr filterMode="1">
    <tabColor rgb="FF7030A0"/>
  </sheetPr>
  <dimension ref="A1:L55"/>
  <sheetViews>
    <sheetView zoomScale="85" zoomScaleNormal="85" workbookViewId="0">
      <pane ySplit="1" topLeftCell="A2" activePane="bottomLeft" state="frozen"/>
      <selection pane="bottomLeft" activeCell="H21" sqref="H21"/>
    </sheetView>
  </sheetViews>
  <sheetFormatPr defaultRowHeight="18.5"/>
  <cols>
    <col min="1" max="1" width="3.1796875" customWidth="1"/>
    <col min="2" max="2" width="12.453125" style="113" customWidth="1"/>
    <col min="3" max="3" width="10.453125" style="58" customWidth="1"/>
    <col min="4" max="4" width="9" style="58" customWidth="1"/>
    <col min="5" max="5" width="8.26953125" style="58" customWidth="1"/>
    <col min="6" max="6" width="27.54296875" customWidth="1"/>
    <col min="7" max="7" width="54.1796875" customWidth="1"/>
    <col min="8" max="8" width="15.453125" customWidth="1"/>
    <col min="9" max="9" width="20.26953125" customWidth="1"/>
    <col min="10" max="10" width="25.81640625" customWidth="1"/>
    <col min="11" max="11" width="17.1796875" customWidth="1"/>
  </cols>
  <sheetData>
    <row r="1" spans="1:12" s="283" customFormat="1">
      <c r="A1" s="283" t="s">
        <v>982</v>
      </c>
      <c r="B1" s="282" t="s">
        <v>559</v>
      </c>
      <c r="C1" s="282" t="s">
        <v>169</v>
      </c>
      <c r="D1" s="282" t="s">
        <v>961</v>
      </c>
      <c r="E1" s="282" t="s">
        <v>1076</v>
      </c>
      <c r="F1" s="283" t="s">
        <v>558</v>
      </c>
      <c r="G1" s="283" t="s">
        <v>166</v>
      </c>
      <c r="H1" s="283" t="s">
        <v>21</v>
      </c>
      <c r="I1" s="283" t="s">
        <v>560</v>
      </c>
      <c r="J1" s="283" t="s">
        <v>959</v>
      </c>
      <c r="K1" s="283" t="s">
        <v>918</v>
      </c>
      <c r="L1" s="283" t="s">
        <v>957</v>
      </c>
    </row>
    <row r="2" spans="1:12">
      <c r="A2">
        <v>1</v>
      </c>
      <c r="B2" s="113" t="s">
        <v>356</v>
      </c>
      <c r="C2" s="58" t="s">
        <v>214</v>
      </c>
      <c r="D2" s="58" t="s">
        <v>553</v>
      </c>
      <c r="F2" t="s">
        <v>361</v>
      </c>
      <c r="G2" t="s">
        <v>357</v>
      </c>
      <c r="K2" t="s">
        <v>357</v>
      </c>
    </row>
    <row r="3" spans="1:12">
      <c r="A3">
        <v>1</v>
      </c>
      <c r="B3" s="113" t="s">
        <v>356</v>
      </c>
      <c r="C3" s="58" t="s">
        <v>214</v>
      </c>
      <c r="D3" s="58" t="s">
        <v>553</v>
      </c>
      <c r="F3" t="s">
        <v>362</v>
      </c>
      <c r="G3" t="s">
        <v>358</v>
      </c>
      <c r="K3" t="s">
        <v>358</v>
      </c>
    </row>
    <row r="4" spans="1:12">
      <c r="A4">
        <v>1</v>
      </c>
      <c r="B4" s="113" t="s">
        <v>356</v>
      </c>
      <c r="C4" s="58" t="s">
        <v>214</v>
      </c>
      <c r="D4" s="58" t="s">
        <v>553</v>
      </c>
      <c r="F4" t="s">
        <v>497</v>
      </c>
      <c r="G4" t="s">
        <v>514</v>
      </c>
      <c r="K4" t="s">
        <v>514</v>
      </c>
    </row>
    <row r="5" spans="1:12">
      <c r="A5">
        <v>1</v>
      </c>
      <c r="B5" s="113" t="s">
        <v>356</v>
      </c>
      <c r="C5" s="58" t="s">
        <v>214</v>
      </c>
      <c r="D5" s="58" t="s">
        <v>553</v>
      </c>
      <c r="F5" t="s">
        <v>516</v>
      </c>
      <c r="G5" t="s">
        <v>513</v>
      </c>
      <c r="K5" t="s">
        <v>513</v>
      </c>
    </row>
    <row r="6" spans="1:12">
      <c r="A6">
        <v>1</v>
      </c>
      <c r="B6" s="113" t="s">
        <v>356</v>
      </c>
      <c r="C6" s="58" t="s">
        <v>214</v>
      </c>
      <c r="D6" s="58" t="s">
        <v>553</v>
      </c>
      <c r="F6" t="s">
        <v>517</v>
      </c>
      <c r="G6" t="s">
        <v>512</v>
      </c>
      <c r="K6" t="s">
        <v>512</v>
      </c>
    </row>
    <row r="7" spans="1:12" hidden="1">
      <c r="A7">
        <v>0</v>
      </c>
      <c r="B7" s="113" t="s">
        <v>356</v>
      </c>
      <c r="C7" s="58" t="s">
        <v>556</v>
      </c>
      <c r="D7" s="58" t="s">
        <v>557</v>
      </c>
    </row>
    <row r="8" spans="1:12">
      <c r="A8">
        <v>1</v>
      </c>
      <c r="B8" s="113" t="s">
        <v>356</v>
      </c>
      <c r="C8" s="58" t="s">
        <v>556</v>
      </c>
      <c r="D8" s="58" t="s">
        <v>557</v>
      </c>
    </row>
    <row r="9" spans="1:12">
      <c r="A9">
        <v>1</v>
      </c>
      <c r="B9" s="113" t="s">
        <v>356</v>
      </c>
      <c r="C9" s="58" t="s">
        <v>556</v>
      </c>
      <c r="D9" s="58" t="s">
        <v>557</v>
      </c>
    </row>
    <row r="10" spans="1:12">
      <c r="A10">
        <v>1</v>
      </c>
      <c r="B10" s="113" t="s">
        <v>356</v>
      </c>
      <c r="C10" s="58" t="s">
        <v>556</v>
      </c>
      <c r="D10" s="58" t="s">
        <v>557</v>
      </c>
    </row>
    <row r="11" spans="1:12">
      <c r="A11">
        <v>1</v>
      </c>
      <c r="B11" s="113" t="s">
        <v>356</v>
      </c>
      <c r="C11" s="58" t="s">
        <v>477</v>
      </c>
      <c r="D11" s="58" t="s">
        <v>553</v>
      </c>
      <c r="F11" t="s">
        <v>766</v>
      </c>
      <c r="G11" s="131" t="s">
        <v>765</v>
      </c>
      <c r="K11" t="s">
        <v>922</v>
      </c>
    </row>
    <row r="12" spans="1:12">
      <c r="A12">
        <v>1</v>
      </c>
      <c r="B12" s="113" t="s">
        <v>356</v>
      </c>
      <c r="C12" s="58" t="s">
        <v>477</v>
      </c>
      <c r="D12" s="58" t="s">
        <v>553</v>
      </c>
      <c r="F12" t="s">
        <v>767</v>
      </c>
      <c r="G12" t="s">
        <v>962</v>
      </c>
      <c r="K12" t="s">
        <v>964</v>
      </c>
      <c r="L12" t="s">
        <v>963</v>
      </c>
    </row>
    <row r="13" spans="1:12">
      <c r="A13">
        <v>1</v>
      </c>
      <c r="B13" s="113" t="s">
        <v>356</v>
      </c>
      <c r="C13" s="58" t="s">
        <v>954</v>
      </c>
      <c r="D13" s="58" t="s">
        <v>553</v>
      </c>
      <c r="F13" t="s">
        <v>960</v>
      </c>
      <c r="G13" t="s">
        <v>955</v>
      </c>
      <c r="K13" t="s">
        <v>958</v>
      </c>
      <c r="L13" t="s">
        <v>956</v>
      </c>
    </row>
    <row r="18" spans="1:11" s="149" customFormat="1" hidden="1">
      <c r="A18" s="149">
        <v>0</v>
      </c>
      <c r="B18" s="196" t="s">
        <v>360</v>
      </c>
      <c r="C18" s="197" t="s">
        <v>214</v>
      </c>
      <c r="D18" s="197" t="s">
        <v>553</v>
      </c>
      <c r="E18" s="197"/>
      <c r="F18" s="149" t="s">
        <v>364</v>
      </c>
      <c r="G18" s="199" t="s">
        <v>363</v>
      </c>
    </row>
    <row r="19" spans="1:11" s="149" customFormat="1" hidden="1">
      <c r="A19" s="149">
        <v>0</v>
      </c>
      <c r="B19" s="196" t="s">
        <v>360</v>
      </c>
      <c r="C19" s="197" t="s">
        <v>214</v>
      </c>
      <c r="D19" s="197" t="s">
        <v>553</v>
      </c>
      <c r="E19" s="197"/>
      <c r="F19" s="149" t="s">
        <v>366</v>
      </c>
      <c r="G19" s="199" t="s">
        <v>365</v>
      </c>
    </row>
    <row r="20" spans="1:11" hidden="1">
      <c r="A20" s="149">
        <v>0</v>
      </c>
      <c r="B20" s="236" t="s">
        <v>360</v>
      </c>
      <c r="C20" s="237" t="s">
        <v>477</v>
      </c>
      <c r="D20" s="237" t="s">
        <v>553</v>
      </c>
      <c r="E20" s="237"/>
      <c r="F20" s="238" t="s">
        <v>364</v>
      </c>
      <c r="G20" s="238" t="s">
        <v>476</v>
      </c>
      <c r="H20" s="238" t="s">
        <v>524</v>
      </c>
      <c r="I20" s="238" t="s">
        <v>542</v>
      </c>
    </row>
    <row r="21" spans="1:11">
      <c r="A21" s="149">
        <v>1</v>
      </c>
      <c r="B21" s="113" t="s">
        <v>360</v>
      </c>
      <c r="C21" s="58" t="s">
        <v>477</v>
      </c>
      <c r="D21" s="58" t="s">
        <v>553</v>
      </c>
      <c r="E21" s="58" t="s">
        <v>45</v>
      </c>
      <c r="F21" t="s">
        <v>607</v>
      </c>
      <c r="G21" t="s">
        <v>603</v>
      </c>
      <c r="H21" t="s">
        <v>605</v>
      </c>
      <c r="I21" t="s">
        <v>604</v>
      </c>
    </row>
    <row r="22" spans="1:11" hidden="1">
      <c r="A22" s="149">
        <v>0</v>
      </c>
      <c r="B22" s="196" t="s">
        <v>360</v>
      </c>
      <c r="C22" s="197" t="s">
        <v>477</v>
      </c>
      <c r="D22" s="197" t="s">
        <v>553</v>
      </c>
      <c r="E22" s="197"/>
      <c r="F22" s="149" t="s">
        <v>518</v>
      </c>
      <c r="G22" s="149" t="s">
        <v>520</v>
      </c>
      <c r="H22" s="149" t="s">
        <v>525</v>
      </c>
      <c r="I22" s="149" t="s">
        <v>543</v>
      </c>
      <c r="J22" s="198" t="s">
        <v>536</v>
      </c>
    </row>
    <row r="23" spans="1:11" hidden="1">
      <c r="A23" s="149">
        <v>0</v>
      </c>
      <c r="B23" s="236" t="s">
        <v>360</v>
      </c>
      <c r="C23" s="237" t="s">
        <v>477</v>
      </c>
      <c r="D23" s="237" t="s">
        <v>552</v>
      </c>
      <c r="E23" s="237"/>
      <c r="F23" s="238" t="s">
        <v>554</v>
      </c>
      <c r="G23" s="238" t="s">
        <v>551</v>
      </c>
      <c r="H23" s="238" t="s">
        <v>555</v>
      </c>
      <c r="I23" s="238" t="s">
        <v>653</v>
      </c>
      <c r="J23" s="12"/>
    </row>
    <row r="24" spans="1:11" hidden="1">
      <c r="A24" s="149">
        <v>0</v>
      </c>
      <c r="B24" s="236" t="s">
        <v>360</v>
      </c>
      <c r="C24" s="237" t="s">
        <v>477</v>
      </c>
      <c r="D24" s="237" t="s">
        <v>553</v>
      </c>
      <c r="E24" s="237"/>
      <c r="F24" s="238" t="s">
        <v>908</v>
      </c>
      <c r="G24" s="238" t="s">
        <v>907</v>
      </c>
      <c r="H24" s="238" t="s">
        <v>898</v>
      </c>
      <c r="I24" s="238" t="s">
        <v>909</v>
      </c>
      <c r="J24" s="12"/>
    </row>
    <row r="25" spans="1:11">
      <c r="A25" s="149">
        <v>0</v>
      </c>
      <c r="B25" s="113" t="s">
        <v>360</v>
      </c>
      <c r="C25" s="58" t="s">
        <v>477</v>
      </c>
      <c r="D25" s="58" t="s">
        <v>553</v>
      </c>
      <c r="E25" s="58" t="s">
        <v>45</v>
      </c>
      <c r="F25" s="338" t="s">
        <v>1068</v>
      </c>
      <c r="G25" s="339" t="s">
        <v>915</v>
      </c>
      <c r="H25" s="343" t="s">
        <v>916</v>
      </c>
      <c r="I25" s="339" t="s">
        <v>917</v>
      </c>
      <c r="J25" s="342" t="s">
        <v>910</v>
      </c>
    </row>
    <row r="26" spans="1:11">
      <c r="A26" s="149">
        <v>1</v>
      </c>
      <c r="B26" s="113" t="s">
        <v>360</v>
      </c>
      <c r="C26" s="58" t="s">
        <v>477</v>
      </c>
      <c r="D26" s="58" t="s">
        <v>553</v>
      </c>
      <c r="E26" s="58" t="s">
        <v>52</v>
      </c>
      <c r="F26" t="s">
        <v>768</v>
      </c>
      <c r="G26" t="s">
        <v>911</v>
      </c>
      <c r="H26" s="273" t="s">
        <v>914</v>
      </c>
      <c r="I26" t="s">
        <v>945</v>
      </c>
      <c r="J26" s="12" t="s">
        <v>913</v>
      </c>
      <c r="K26" t="s">
        <v>912</v>
      </c>
    </row>
    <row r="27" spans="1:11" hidden="1">
      <c r="A27" s="149">
        <v>0</v>
      </c>
      <c r="B27" s="289" t="s">
        <v>921</v>
      </c>
      <c r="C27" s="290" t="s">
        <v>477</v>
      </c>
      <c r="D27" s="290" t="s">
        <v>553</v>
      </c>
      <c r="E27" s="290"/>
      <c r="F27" s="210" t="s">
        <v>920</v>
      </c>
      <c r="G27" s="291"/>
      <c r="H27" s="210" t="s">
        <v>919</v>
      </c>
      <c r="I27" s="210"/>
      <c r="J27" s="292"/>
    </row>
    <row r="28" spans="1:11" hidden="1">
      <c r="A28" s="149">
        <v>0</v>
      </c>
      <c r="B28" s="289" t="s">
        <v>360</v>
      </c>
      <c r="C28" s="290" t="s">
        <v>954</v>
      </c>
      <c r="D28" s="290" t="s">
        <v>553</v>
      </c>
      <c r="E28" s="290"/>
      <c r="F28" s="210" t="s">
        <v>908</v>
      </c>
      <c r="G28" s="291" t="s">
        <v>976</v>
      </c>
      <c r="H28" s="210" t="s">
        <v>977</v>
      </c>
      <c r="I28" s="210" t="s">
        <v>978</v>
      </c>
      <c r="J28" s="292" t="s">
        <v>979</v>
      </c>
    </row>
    <row r="29" spans="1:11" hidden="1">
      <c r="A29" s="149">
        <v>0</v>
      </c>
      <c r="B29" s="289" t="s">
        <v>360</v>
      </c>
      <c r="C29" s="290" t="s">
        <v>954</v>
      </c>
      <c r="D29" s="290" t="s">
        <v>553</v>
      </c>
      <c r="E29" s="290"/>
      <c r="F29" s="210" t="s">
        <v>908</v>
      </c>
      <c r="G29" s="291" t="s">
        <v>976</v>
      </c>
      <c r="H29" s="210" t="s">
        <v>993</v>
      </c>
      <c r="I29" s="210" t="s">
        <v>991</v>
      </c>
      <c r="J29" s="292" t="s">
        <v>992</v>
      </c>
    </row>
    <row r="30" spans="1:11" hidden="1">
      <c r="A30" s="149">
        <v>0</v>
      </c>
      <c r="B30" s="289" t="s">
        <v>360</v>
      </c>
      <c r="C30" s="290" t="s">
        <v>954</v>
      </c>
      <c r="D30" s="290" t="s">
        <v>553</v>
      </c>
      <c r="E30" s="290"/>
      <c r="F30" s="210" t="s">
        <v>998</v>
      </c>
      <c r="G30" s="291" t="s">
        <v>976</v>
      </c>
      <c r="H30" s="210" t="s">
        <v>999</v>
      </c>
      <c r="I30" s="210" t="s">
        <v>997</v>
      </c>
      <c r="J30" s="12"/>
    </row>
    <row r="31" spans="1:11" s="339" customFormat="1" hidden="1">
      <c r="A31" s="339">
        <v>0</v>
      </c>
      <c r="B31" s="340" t="s">
        <v>360</v>
      </c>
      <c r="C31" s="341" t="s">
        <v>954</v>
      </c>
      <c r="D31" s="341" t="s">
        <v>553</v>
      </c>
      <c r="E31" s="341"/>
      <c r="F31" s="339" t="s">
        <v>1004</v>
      </c>
      <c r="G31" s="343" t="s">
        <v>976</v>
      </c>
      <c r="H31" s="339" t="s">
        <v>1002</v>
      </c>
      <c r="I31" s="351" t="s">
        <v>1001</v>
      </c>
      <c r="J31" s="342"/>
    </row>
    <row r="32" spans="1:11" s="339" customFormat="1" hidden="1">
      <c r="A32" s="339">
        <v>0</v>
      </c>
      <c r="B32" s="340" t="s">
        <v>360</v>
      </c>
      <c r="C32" s="341" t="s">
        <v>954</v>
      </c>
      <c r="D32" s="341" t="s">
        <v>553</v>
      </c>
      <c r="E32" s="341"/>
      <c r="F32" s="339" t="s">
        <v>998</v>
      </c>
      <c r="G32" s="343" t="s">
        <v>976</v>
      </c>
      <c r="H32" s="339" t="s">
        <v>1000</v>
      </c>
      <c r="I32" s="351" t="s">
        <v>1003</v>
      </c>
      <c r="J32" s="342"/>
    </row>
    <row r="33" spans="1:10" s="339" customFormat="1" hidden="1">
      <c r="A33" s="339">
        <v>0</v>
      </c>
      <c r="B33" s="340" t="s">
        <v>994</v>
      </c>
      <c r="C33" s="341" t="s">
        <v>954</v>
      </c>
      <c r="D33" s="341" t="s">
        <v>553</v>
      </c>
      <c r="E33" s="341"/>
      <c r="F33" s="339" t="s">
        <v>996</v>
      </c>
      <c r="G33" s="343" t="s">
        <v>995</v>
      </c>
      <c r="J33" s="342"/>
    </row>
    <row r="34" spans="1:10" s="339" customFormat="1" hidden="1">
      <c r="A34" s="339">
        <v>0</v>
      </c>
      <c r="B34" s="340" t="s">
        <v>360</v>
      </c>
      <c r="C34" s="341" t="s">
        <v>954</v>
      </c>
      <c r="D34" s="341" t="s">
        <v>553</v>
      </c>
      <c r="E34" s="341"/>
      <c r="F34" s="339" t="s">
        <v>1014</v>
      </c>
      <c r="G34" s="343" t="s">
        <v>1021</v>
      </c>
      <c r="I34" s="339" t="s">
        <v>1015</v>
      </c>
      <c r="J34" s="342"/>
    </row>
    <row r="35" spans="1:10" hidden="1">
      <c r="A35" s="149">
        <v>0</v>
      </c>
      <c r="B35" s="289" t="s">
        <v>360</v>
      </c>
      <c r="C35" s="290" t="s">
        <v>477</v>
      </c>
      <c r="D35" s="290" t="s">
        <v>553</v>
      </c>
      <c r="E35" s="290"/>
      <c r="F35" s="344" t="s">
        <v>1025</v>
      </c>
      <c r="G35" s="346" t="s">
        <v>1022</v>
      </c>
      <c r="H35" s="210" t="s">
        <v>1023</v>
      </c>
      <c r="I35" s="210" t="s">
        <v>1024</v>
      </c>
      <c r="J35" s="292"/>
    </row>
    <row r="36" spans="1:10">
      <c r="A36" s="344">
        <v>1</v>
      </c>
      <c r="B36" s="113" t="s">
        <v>360</v>
      </c>
      <c r="C36" s="345" t="s">
        <v>954</v>
      </c>
      <c r="D36" s="345" t="s">
        <v>553</v>
      </c>
      <c r="E36" s="345" t="s">
        <v>52</v>
      </c>
      <c r="F36" s="344" t="s">
        <v>1073</v>
      </c>
      <c r="G36" s="346" t="s">
        <v>1075</v>
      </c>
      <c r="H36" s="344" t="s">
        <v>1074</v>
      </c>
      <c r="I36" s="344" t="s">
        <v>1401</v>
      </c>
      <c r="J36" s="292"/>
    </row>
    <row r="37" spans="1:10" s="344" customFormat="1">
      <c r="A37" s="344">
        <v>1</v>
      </c>
      <c r="B37" s="113" t="s">
        <v>360</v>
      </c>
      <c r="C37" s="345" t="s">
        <v>139</v>
      </c>
      <c r="D37" s="345" t="s">
        <v>553</v>
      </c>
      <c r="E37" s="345" t="s">
        <v>45</v>
      </c>
      <c r="F37" s="344" t="s">
        <v>1118</v>
      </c>
      <c r="G37" s="346" t="s">
        <v>1117</v>
      </c>
      <c r="H37" s="344" t="s">
        <v>1119</v>
      </c>
      <c r="J37" s="280"/>
    </row>
    <row r="38" spans="1:10">
      <c r="A38" s="149">
        <v>1</v>
      </c>
      <c r="B38" s="113" t="s">
        <v>360</v>
      </c>
      <c r="C38" s="58" t="s">
        <v>477</v>
      </c>
      <c r="D38" s="58" t="s">
        <v>553</v>
      </c>
      <c r="E38" s="58" t="s">
        <v>45</v>
      </c>
      <c r="F38" s="338" t="s">
        <v>1068</v>
      </c>
      <c r="G38" s="273" t="s">
        <v>1522</v>
      </c>
      <c r="H38" t="s">
        <v>1521</v>
      </c>
      <c r="J38" s="12"/>
    </row>
    <row r="40" spans="1:10" hidden="1">
      <c r="A40">
        <v>0</v>
      </c>
      <c r="B40" s="113" t="s">
        <v>481</v>
      </c>
      <c r="C40" s="58" t="s">
        <v>214</v>
      </c>
      <c r="D40" s="58" t="s">
        <v>553</v>
      </c>
      <c r="F40" t="s">
        <v>515</v>
      </c>
      <c r="G40" t="s">
        <v>561</v>
      </c>
      <c r="H40" t="s">
        <v>561</v>
      </c>
    </row>
    <row r="41" spans="1:10">
      <c r="A41">
        <v>1</v>
      </c>
      <c r="B41" s="113" t="s">
        <v>481</v>
      </c>
      <c r="C41" s="58" t="s">
        <v>477</v>
      </c>
      <c r="D41" s="58" t="s">
        <v>553</v>
      </c>
      <c r="F41" t="s">
        <v>515</v>
      </c>
      <c r="G41" t="s">
        <v>519</v>
      </c>
      <c r="H41" t="s">
        <v>519</v>
      </c>
    </row>
    <row r="42" spans="1:10">
      <c r="A42">
        <v>1</v>
      </c>
      <c r="B42" s="113" t="s">
        <v>481</v>
      </c>
      <c r="C42" s="58" t="s">
        <v>562</v>
      </c>
      <c r="F42" t="s">
        <v>984</v>
      </c>
      <c r="G42" t="s">
        <v>564</v>
      </c>
      <c r="H42" t="s">
        <v>564</v>
      </c>
    </row>
    <row r="43" spans="1:10">
      <c r="A43">
        <v>1</v>
      </c>
      <c r="B43" s="113" t="s">
        <v>481</v>
      </c>
      <c r="C43" s="58" t="s">
        <v>477</v>
      </c>
      <c r="D43" s="58" t="s">
        <v>553</v>
      </c>
      <c r="F43" t="s">
        <v>983</v>
      </c>
      <c r="G43" t="s">
        <v>980</v>
      </c>
      <c r="H43" t="s">
        <v>981</v>
      </c>
    </row>
    <row r="45" spans="1:10">
      <c r="A45">
        <v>1</v>
      </c>
      <c r="B45" s="113" t="s">
        <v>1110</v>
      </c>
      <c r="C45" s="58" t="s">
        <v>139</v>
      </c>
      <c r="F45" t="s">
        <v>1109</v>
      </c>
      <c r="G45" t="s">
        <v>1107</v>
      </c>
      <c r="H45" t="s">
        <v>1108</v>
      </c>
    </row>
    <row r="46" spans="1:10">
      <c r="G46" s="250"/>
    </row>
    <row r="48" spans="1:10">
      <c r="G48" s="273"/>
    </row>
    <row r="49" spans="5:9">
      <c r="E49" s="58" t="s">
        <v>45</v>
      </c>
      <c r="F49" t="s">
        <v>1593</v>
      </c>
      <c r="H49" t="s">
        <v>1543</v>
      </c>
      <c r="I49" t="s">
        <v>1592</v>
      </c>
    </row>
    <row r="50" spans="5:9">
      <c r="E50" s="58" t="s">
        <v>52</v>
      </c>
      <c r="F50" t="s">
        <v>1594</v>
      </c>
      <c r="H50" t="s">
        <v>1604</v>
      </c>
      <c r="I50" t="s">
        <v>1603</v>
      </c>
    </row>
    <row r="51" spans="5:9">
      <c r="F51" t="s">
        <v>1611</v>
      </c>
      <c r="I51" t="s">
        <v>1610</v>
      </c>
    </row>
    <row r="55" spans="5:9">
      <c r="I55" t="s">
        <v>1603</v>
      </c>
    </row>
  </sheetData>
  <autoFilter ref="A1:L48" xr:uid="{A63FB2A1-A45B-4F63-812F-0E522282237C}">
    <filterColumn colId="0">
      <filters blank="1">
        <filter val="1"/>
      </filters>
    </filterColumn>
  </autoFilter>
  <phoneticPr fontId="5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1F61-B1C4-4F2F-9534-179B647E84D8}">
  <sheetPr codeName="Sheet7"/>
  <dimension ref="A1:I19"/>
  <sheetViews>
    <sheetView workbookViewId="0">
      <selection activeCell="F18" sqref="F18"/>
    </sheetView>
  </sheetViews>
  <sheetFormatPr defaultRowHeight="15.5"/>
  <cols>
    <col min="1" max="1" width="32.453125" style="58" customWidth="1"/>
    <col min="2" max="2" width="13.26953125" customWidth="1"/>
    <col min="3" max="3" width="13" customWidth="1"/>
    <col min="4" max="4" width="1.54296875" style="124" customWidth="1"/>
    <col min="5" max="5" width="33.81640625" customWidth="1"/>
    <col min="6" max="6" width="9" customWidth="1"/>
    <col min="7" max="7" width="37.54296875" customWidth="1"/>
    <col min="8" max="8" width="9.453125" style="114" customWidth="1"/>
    <col min="9" max="9" width="15.54296875" style="114" customWidth="1"/>
  </cols>
  <sheetData>
    <row r="1" spans="1:9">
      <c r="C1" t="s">
        <v>169</v>
      </c>
    </row>
    <row r="2" spans="1:9" ht="18.5">
      <c r="A2" s="112" t="s">
        <v>298</v>
      </c>
      <c r="E2" s="112" t="s">
        <v>359</v>
      </c>
      <c r="F2" s="112"/>
      <c r="G2" s="112"/>
      <c r="I2" s="114" t="s">
        <v>367</v>
      </c>
    </row>
    <row r="3" spans="1:9" ht="16">
      <c r="A3" s="59"/>
      <c r="F3" s="126" t="s">
        <v>169</v>
      </c>
      <c r="H3" s="126" t="s">
        <v>486</v>
      </c>
      <c r="I3" s="126" t="s">
        <v>369</v>
      </c>
    </row>
    <row r="4" spans="1:9" ht="16">
      <c r="A4" s="62" t="s">
        <v>212</v>
      </c>
      <c r="B4" t="s">
        <v>213</v>
      </c>
      <c r="C4" t="s">
        <v>209</v>
      </c>
      <c r="E4" t="s">
        <v>370</v>
      </c>
      <c r="F4" t="s">
        <v>214</v>
      </c>
      <c r="G4" s="22" t="s">
        <v>368</v>
      </c>
      <c r="H4" s="125" t="s">
        <v>487</v>
      </c>
      <c r="I4" s="125">
        <v>637423246076</v>
      </c>
    </row>
    <row r="5" spans="1:9">
      <c r="A5" s="60" t="s">
        <v>193</v>
      </c>
      <c r="B5" t="s">
        <v>213</v>
      </c>
      <c r="C5" t="s">
        <v>214</v>
      </c>
      <c r="E5" t="s">
        <v>479</v>
      </c>
      <c r="F5" t="s">
        <v>215</v>
      </c>
      <c r="G5" s="22" t="s">
        <v>480</v>
      </c>
      <c r="H5" s="125" t="s">
        <v>487</v>
      </c>
      <c r="I5" s="125" t="s">
        <v>478</v>
      </c>
    </row>
    <row r="6" spans="1:9">
      <c r="A6" s="60" t="s">
        <v>194</v>
      </c>
    </row>
    <row r="7" spans="1:9">
      <c r="A7" s="60" t="s">
        <v>195</v>
      </c>
    </row>
    <row r="8" spans="1:9">
      <c r="A8" s="60" t="s">
        <v>196</v>
      </c>
    </row>
    <row r="9" spans="1:9">
      <c r="A9" s="60" t="s">
        <v>197</v>
      </c>
      <c r="C9" t="s">
        <v>214</v>
      </c>
    </row>
    <row r="10" spans="1:9">
      <c r="A10" s="60" t="s">
        <v>198</v>
      </c>
      <c r="C10" t="s">
        <v>139</v>
      </c>
    </row>
    <row r="11" spans="1:9">
      <c r="A11" s="60" t="s">
        <v>199</v>
      </c>
      <c r="C11" t="s">
        <v>215</v>
      </c>
    </row>
    <row r="13" spans="1:9">
      <c r="E13" t="s">
        <v>566</v>
      </c>
      <c r="F13" t="s">
        <v>566</v>
      </c>
      <c r="G13" s="22" t="s">
        <v>565</v>
      </c>
      <c r="H13" s="125" t="s">
        <v>487</v>
      </c>
      <c r="I13" s="114" t="s">
        <v>567</v>
      </c>
    </row>
    <row r="14" spans="1:9">
      <c r="A14" s="61" t="s">
        <v>206</v>
      </c>
      <c r="B14" t="s">
        <v>208</v>
      </c>
      <c r="C14" t="s">
        <v>209</v>
      </c>
    </row>
    <row r="15" spans="1:9">
      <c r="A15" s="61" t="s">
        <v>207</v>
      </c>
      <c r="B15" t="s">
        <v>208</v>
      </c>
      <c r="C15" t="s">
        <v>209</v>
      </c>
    </row>
    <row r="19" spans="1:1" ht="18.5">
      <c r="A19" s="112"/>
    </row>
  </sheetData>
  <hyperlinks>
    <hyperlink ref="G5" r:id="rId1" xr:uid="{A7AF8EA7-A5F5-4BEC-B66A-AA7F82F73D17}"/>
    <hyperlink ref="G13" r:id="rId2" xr:uid="{4F8301C8-35DF-4086-9747-B2282BF29643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0C16-7B63-4F2D-9D12-78B5BEC0FAFA}">
  <sheetPr codeName="Sheet8"/>
  <dimension ref="A1:D49"/>
  <sheetViews>
    <sheetView workbookViewId="0">
      <selection activeCell="B32" sqref="B32"/>
    </sheetView>
  </sheetViews>
  <sheetFormatPr defaultRowHeight="14.5"/>
  <cols>
    <col min="1" max="1" width="22.7265625" bestFit="1" customWidth="1"/>
    <col min="2" max="2" width="255.54296875" bestFit="1" customWidth="1"/>
    <col min="3" max="3" width="9.7265625" bestFit="1" customWidth="1"/>
  </cols>
  <sheetData>
    <row r="1" spans="1:3">
      <c r="A1" s="65" t="s">
        <v>236</v>
      </c>
    </row>
    <row r="2" spans="1:3">
      <c r="A2" t="s">
        <v>237</v>
      </c>
      <c r="B2" t="s">
        <v>238</v>
      </c>
      <c r="C2" t="s">
        <v>239</v>
      </c>
    </row>
    <row r="3" spans="1:3">
      <c r="A3" t="s">
        <v>240</v>
      </c>
      <c r="B3" t="s">
        <v>241</v>
      </c>
      <c r="C3" t="s">
        <v>242</v>
      </c>
    </row>
    <row r="4" spans="1:3">
      <c r="A4" t="s">
        <v>243</v>
      </c>
      <c r="B4" t="s">
        <v>241</v>
      </c>
      <c r="C4" t="s">
        <v>242</v>
      </c>
    </row>
    <row r="5" spans="1:3">
      <c r="A5" t="s">
        <v>244</v>
      </c>
      <c r="B5" t="s">
        <v>245</v>
      </c>
      <c r="C5" t="s">
        <v>242</v>
      </c>
    </row>
    <row r="6" spans="1:3">
      <c r="A6" t="s">
        <v>246</v>
      </c>
      <c r="B6" t="s">
        <v>245</v>
      </c>
      <c r="C6" t="s">
        <v>242</v>
      </c>
    </row>
    <row r="7" spans="1:3">
      <c r="A7" s="66" t="s">
        <v>247</v>
      </c>
      <c r="B7" t="s">
        <v>248</v>
      </c>
      <c r="C7" t="s">
        <v>242</v>
      </c>
    </row>
    <row r="8" spans="1:3">
      <c r="A8" s="67" t="s">
        <v>249</v>
      </c>
      <c r="B8" t="s">
        <v>250</v>
      </c>
      <c r="C8" t="s">
        <v>242</v>
      </c>
    </row>
    <row r="9" spans="1:3">
      <c r="A9" s="67" t="s">
        <v>251</v>
      </c>
      <c r="B9" t="s">
        <v>252</v>
      </c>
      <c r="C9" t="s">
        <v>253</v>
      </c>
    </row>
    <row r="10" spans="1:3">
      <c r="A10" s="66" t="s">
        <v>254</v>
      </c>
      <c r="B10" t="s">
        <v>255</v>
      </c>
      <c r="C10" t="s">
        <v>242</v>
      </c>
    </row>
    <row r="11" spans="1:3">
      <c r="A11" t="s">
        <v>256</v>
      </c>
      <c r="B11" t="s">
        <v>245</v>
      </c>
      <c r="C11" t="s">
        <v>242</v>
      </c>
    </row>
    <row r="12" spans="1:3">
      <c r="A12" t="s">
        <v>257</v>
      </c>
      <c r="B12" t="s">
        <v>245</v>
      </c>
      <c r="C12" t="s">
        <v>242</v>
      </c>
    </row>
    <row r="13" spans="1:3">
      <c r="A13" t="s">
        <v>258</v>
      </c>
      <c r="B13" t="s">
        <v>245</v>
      </c>
      <c r="C13" t="s">
        <v>242</v>
      </c>
    </row>
    <row r="14" spans="1:3">
      <c r="A14" t="s">
        <v>259</v>
      </c>
      <c r="B14" t="s">
        <v>260</v>
      </c>
      <c r="C14" t="s">
        <v>242</v>
      </c>
    </row>
    <row r="15" spans="1:3">
      <c r="A15" s="67" t="s">
        <v>261</v>
      </c>
      <c r="B15" t="s">
        <v>262</v>
      </c>
      <c r="C15" t="s">
        <v>242</v>
      </c>
    </row>
    <row r="16" spans="1:3">
      <c r="A16" s="67" t="s">
        <v>263</v>
      </c>
      <c r="B16" t="s">
        <v>264</v>
      </c>
      <c r="C16" t="s">
        <v>242</v>
      </c>
    </row>
    <row r="17" spans="1:4">
      <c r="A17" t="s">
        <v>265</v>
      </c>
      <c r="B17" t="s">
        <v>241</v>
      </c>
      <c r="C17" t="s">
        <v>253</v>
      </c>
    </row>
    <row r="21" spans="1:4">
      <c r="A21" s="65" t="s">
        <v>266</v>
      </c>
    </row>
    <row r="22" spans="1:4">
      <c r="A22" t="s">
        <v>237</v>
      </c>
      <c r="B22" t="s">
        <v>238</v>
      </c>
      <c r="C22" t="s">
        <v>239</v>
      </c>
    </row>
    <row r="23" spans="1:4">
      <c r="A23" t="s">
        <v>244</v>
      </c>
      <c r="B23" t="s">
        <v>245</v>
      </c>
      <c r="C23" t="s">
        <v>242</v>
      </c>
    </row>
    <row r="24" spans="1:4">
      <c r="A24" s="66" t="s">
        <v>247</v>
      </c>
      <c r="B24" t="s">
        <v>248</v>
      </c>
      <c r="C24" t="s">
        <v>242</v>
      </c>
    </row>
    <row r="25" spans="1:4">
      <c r="A25" s="66" t="s">
        <v>249</v>
      </c>
      <c r="B25" t="s">
        <v>248</v>
      </c>
      <c r="C25" t="s">
        <v>242</v>
      </c>
    </row>
    <row r="26" spans="1:4">
      <c r="A26" s="63" t="s">
        <v>267</v>
      </c>
      <c r="B26" s="63" t="s">
        <v>241</v>
      </c>
      <c r="C26" s="63" t="s">
        <v>242</v>
      </c>
      <c r="D26" s="63"/>
    </row>
    <row r="27" spans="1:4">
      <c r="A27" s="63" t="s">
        <v>268</v>
      </c>
      <c r="B27" s="63" t="s">
        <v>241</v>
      </c>
      <c r="C27" s="63" t="s">
        <v>242</v>
      </c>
      <c r="D27" s="63"/>
    </row>
    <row r="28" spans="1:4">
      <c r="A28" s="68" t="s">
        <v>269</v>
      </c>
      <c r="B28" s="63" t="s">
        <v>270</v>
      </c>
      <c r="C28" s="63" t="s">
        <v>242</v>
      </c>
      <c r="D28" s="63"/>
    </row>
    <row r="29" spans="1:4">
      <c r="A29" s="68" t="s">
        <v>271</v>
      </c>
      <c r="B29" s="63" t="s">
        <v>272</v>
      </c>
      <c r="C29" s="63" t="s">
        <v>253</v>
      </c>
      <c r="D29" s="63"/>
    </row>
    <row r="30" spans="1:4">
      <c r="A30" s="68" t="s">
        <v>273</v>
      </c>
      <c r="B30" s="63" t="s">
        <v>272</v>
      </c>
      <c r="C30" s="63" t="s">
        <v>253</v>
      </c>
      <c r="D30" s="63"/>
    </row>
    <row r="31" spans="1:4">
      <c r="A31" s="69" t="s">
        <v>274</v>
      </c>
      <c r="B31" s="63" t="s">
        <v>275</v>
      </c>
      <c r="C31" s="63" t="s">
        <v>242</v>
      </c>
      <c r="D31" s="63"/>
    </row>
    <row r="32" spans="1:4">
      <c r="A32" s="69" t="s">
        <v>276</v>
      </c>
      <c r="B32" s="63" t="s">
        <v>277</v>
      </c>
      <c r="C32" s="63" t="s">
        <v>242</v>
      </c>
      <c r="D32" s="63"/>
    </row>
    <row r="33" spans="1:4">
      <c r="A33" s="68" t="s">
        <v>278</v>
      </c>
      <c r="B33" s="63" t="s">
        <v>279</v>
      </c>
      <c r="C33" s="63" t="s">
        <v>253</v>
      </c>
      <c r="D33" s="63"/>
    </row>
    <row r="34" spans="1:4">
      <c r="A34" s="69" t="s">
        <v>280</v>
      </c>
      <c r="B34" s="63" t="s">
        <v>281</v>
      </c>
      <c r="C34" s="63" t="s">
        <v>242</v>
      </c>
      <c r="D34" s="63"/>
    </row>
    <row r="35" spans="1:4">
      <c r="A35" s="69" t="s">
        <v>282</v>
      </c>
      <c r="B35" s="63" t="s">
        <v>283</v>
      </c>
      <c r="C35" s="63" t="s">
        <v>242</v>
      </c>
      <c r="D35" s="63"/>
    </row>
    <row r="36" spans="1:4">
      <c r="A36" s="63" t="s">
        <v>284</v>
      </c>
      <c r="B36" s="63" t="s">
        <v>245</v>
      </c>
      <c r="C36" s="63" t="s">
        <v>242</v>
      </c>
      <c r="D36" s="63"/>
    </row>
    <row r="37" spans="1:4">
      <c r="A37" s="63" t="s">
        <v>285</v>
      </c>
      <c r="B37" s="63" t="s">
        <v>245</v>
      </c>
      <c r="C37" s="63" t="s">
        <v>242</v>
      </c>
      <c r="D37" s="63"/>
    </row>
    <row r="38" spans="1:4">
      <c r="A38" s="63" t="s">
        <v>240</v>
      </c>
      <c r="B38" s="63" t="s">
        <v>241</v>
      </c>
      <c r="C38" s="63" t="s">
        <v>242</v>
      </c>
      <c r="D38" s="63"/>
    </row>
    <row r="39" spans="1:4">
      <c r="A39" s="63" t="s">
        <v>286</v>
      </c>
      <c r="B39" s="63" t="s">
        <v>260</v>
      </c>
      <c r="C39" s="63" t="s">
        <v>242</v>
      </c>
      <c r="D39" s="63"/>
    </row>
    <row r="40" spans="1:4">
      <c r="A40" s="63" t="s">
        <v>287</v>
      </c>
      <c r="B40" s="63" t="s">
        <v>245</v>
      </c>
      <c r="C40" s="63" t="s">
        <v>242</v>
      </c>
      <c r="D40" s="63"/>
    </row>
    <row r="41" spans="1:4">
      <c r="A41" s="63" t="s">
        <v>259</v>
      </c>
      <c r="B41" s="63" t="s">
        <v>260</v>
      </c>
      <c r="C41" s="63" t="s">
        <v>242</v>
      </c>
      <c r="D41" s="63"/>
    </row>
    <row r="42" spans="1:4">
      <c r="A42" s="69" t="s">
        <v>288</v>
      </c>
      <c r="B42" s="63" t="s">
        <v>289</v>
      </c>
      <c r="C42" s="63" t="s">
        <v>242</v>
      </c>
      <c r="D42" s="63"/>
    </row>
    <row r="43" spans="1:4">
      <c r="A43" s="68" t="s">
        <v>290</v>
      </c>
      <c r="B43" s="63" t="s">
        <v>291</v>
      </c>
      <c r="C43" s="63" t="s">
        <v>253</v>
      </c>
      <c r="D43" s="63"/>
    </row>
    <row r="44" spans="1:4">
      <c r="A44" s="69" t="s">
        <v>292</v>
      </c>
      <c r="B44" s="63" t="s">
        <v>293</v>
      </c>
      <c r="C44" s="63" t="s">
        <v>242</v>
      </c>
      <c r="D44" s="63"/>
    </row>
    <row r="45" spans="1:4">
      <c r="A45" s="63" t="s">
        <v>294</v>
      </c>
      <c r="B45" s="63" t="s">
        <v>245</v>
      </c>
      <c r="C45" s="63" t="s">
        <v>242</v>
      </c>
      <c r="D45" s="63"/>
    </row>
    <row r="46" spans="1:4">
      <c r="A46" s="69" t="s">
        <v>295</v>
      </c>
      <c r="B46" s="63" t="s">
        <v>296</v>
      </c>
      <c r="C46" s="63" t="s">
        <v>242</v>
      </c>
      <c r="D46" s="63"/>
    </row>
    <row r="47" spans="1:4">
      <c r="A47" s="63" t="s">
        <v>297</v>
      </c>
      <c r="B47" s="63" t="s">
        <v>260</v>
      </c>
      <c r="C47" s="63" t="s">
        <v>242</v>
      </c>
      <c r="D47" s="63"/>
    </row>
    <row r="48" spans="1:4">
      <c r="A48" s="63" t="s">
        <v>265</v>
      </c>
      <c r="B48" s="63" t="s">
        <v>241</v>
      </c>
      <c r="C48" s="63" t="s">
        <v>253</v>
      </c>
      <c r="D48" s="63"/>
    </row>
    <row r="49" spans="1:4">
      <c r="A49" s="63"/>
      <c r="B49" s="63"/>
      <c r="C49" s="63"/>
      <c r="D49" s="6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50B9-C812-4B15-898B-FA2A32C37D5A}">
  <sheetPr codeName="Sheet9"/>
  <dimension ref="A6:C8"/>
  <sheetViews>
    <sheetView workbookViewId="0">
      <selection activeCell="B8" sqref="B8"/>
    </sheetView>
  </sheetViews>
  <sheetFormatPr defaultRowHeight="14.5"/>
  <cols>
    <col min="1" max="1" width="93.453125" customWidth="1"/>
    <col min="2" max="2" width="106.1796875" customWidth="1"/>
    <col min="3" max="3" width="55.54296875" customWidth="1"/>
  </cols>
  <sheetData>
    <row r="6" spans="1:3" ht="56">
      <c r="A6" s="74" t="s">
        <v>300</v>
      </c>
      <c r="B6" s="75" t="s">
        <v>299</v>
      </c>
    </row>
    <row r="8" spans="1:3" ht="188.5">
      <c r="A8" s="77" t="s">
        <v>302</v>
      </c>
      <c r="B8" s="76" t="s">
        <v>301</v>
      </c>
      <c r="C8" s="78" t="s">
        <v>303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04DB-AECF-4C54-AC3B-4CE1B31EBD11}">
  <sheetPr codeName="Sheet4"/>
  <dimension ref="A1:D19"/>
  <sheetViews>
    <sheetView workbookViewId="0">
      <selection activeCell="D9" sqref="D9"/>
    </sheetView>
  </sheetViews>
  <sheetFormatPr defaultRowHeight="14.5"/>
  <cols>
    <col min="1" max="1" width="19.7265625" customWidth="1"/>
    <col min="2" max="2" width="21.26953125" customWidth="1"/>
    <col min="3" max="3" width="17.26953125" customWidth="1"/>
    <col min="4" max="4" width="122.26953125" customWidth="1"/>
  </cols>
  <sheetData>
    <row r="1" spans="1:4">
      <c r="C1" t="s">
        <v>103</v>
      </c>
    </row>
    <row r="2" spans="1:4">
      <c r="A2" t="s">
        <v>99</v>
      </c>
      <c r="B2" t="s">
        <v>102</v>
      </c>
      <c r="C2" t="s">
        <v>104</v>
      </c>
    </row>
    <row r="3" spans="1:4">
      <c r="A3" t="s">
        <v>100</v>
      </c>
      <c r="B3" t="s">
        <v>101</v>
      </c>
      <c r="C3" t="s">
        <v>104</v>
      </c>
    </row>
    <row r="5" spans="1:4">
      <c r="A5" t="s">
        <v>105</v>
      </c>
      <c r="B5" t="s">
        <v>106</v>
      </c>
    </row>
    <row r="6" spans="1:4">
      <c r="A6" t="s">
        <v>107</v>
      </c>
      <c r="B6" t="s">
        <v>108</v>
      </c>
    </row>
    <row r="9" spans="1:4">
      <c r="A9" t="s">
        <v>177</v>
      </c>
      <c r="D9" t="s">
        <v>563</v>
      </c>
    </row>
    <row r="11" spans="1:4">
      <c r="A11" t="s">
        <v>136</v>
      </c>
      <c r="B11" s="1" t="s">
        <v>139</v>
      </c>
      <c r="C11" s="21" t="s">
        <v>143</v>
      </c>
      <c r="D11" s="22" t="s">
        <v>145</v>
      </c>
    </row>
    <row r="12" spans="1:4">
      <c r="B12" s="1" t="s">
        <v>140</v>
      </c>
      <c r="C12" t="s">
        <v>142</v>
      </c>
      <c r="D12" s="22" t="s">
        <v>144</v>
      </c>
    </row>
    <row r="13" spans="1:4">
      <c r="B13" s="1" t="s">
        <v>141</v>
      </c>
      <c r="C13" t="s">
        <v>64</v>
      </c>
    </row>
    <row r="14" spans="1:4">
      <c r="A14" t="s">
        <v>112</v>
      </c>
    </row>
    <row r="15" spans="1:4">
      <c r="A15" s="20" t="s">
        <v>113</v>
      </c>
      <c r="B15" t="s">
        <v>114</v>
      </c>
    </row>
    <row r="16" spans="1:4">
      <c r="A16" s="20" t="s">
        <v>115</v>
      </c>
      <c r="B16" t="s">
        <v>116</v>
      </c>
      <c r="D16" t="s">
        <v>162</v>
      </c>
    </row>
    <row r="17" spans="1:4">
      <c r="A17" s="20" t="s">
        <v>117</v>
      </c>
      <c r="B17" t="s">
        <v>118</v>
      </c>
    </row>
    <row r="18" spans="1:4">
      <c r="A18" s="20" t="s">
        <v>137</v>
      </c>
      <c r="B18" t="s">
        <v>138</v>
      </c>
      <c r="D18" s="19" t="s">
        <v>156</v>
      </c>
    </row>
    <row r="19" spans="1:4">
      <c r="A19" s="20" t="s">
        <v>119</v>
      </c>
      <c r="B19" t="s">
        <v>120</v>
      </c>
    </row>
  </sheetData>
  <hyperlinks>
    <hyperlink ref="D11" r:id="rId1" xr:uid="{3E7BDA24-CBFB-4F89-A16E-5FBC5EF2AB9A}"/>
    <hyperlink ref="D12" r:id="rId2" xr:uid="{FC52A667-2EF8-4E50-B77A-8535BDA6CCA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E5AE-5C0D-4A50-A517-9828D117C877}">
  <dimension ref="A1:K19"/>
  <sheetViews>
    <sheetView workbookViewId="0">
      <selection activeCell="C23" sqref="C23"/>
    </sheetView>
  </sheetViews>
  <sheetFormatPr defaultRowHeight="14.5"/>
  <cols>
    <col min="1" max="1" width="19" customWidth="1"/>
    <col min="2" max="2" width="61.1796875" customWidth="1"/>
    <col min="3" max="3" width="59.26953125" customWidth="1"/>
  </cols>
  <sheetData>
    <row r="1" spans="1:11">
      <c r="A1" t="s">
        <v>22</v>
      </c>
      <c r="C1" t="s">
        <v>485</v>
      </c>
    </row>
    <row r="2" spans="1:11">
      <c r="A2" t="s">
        <v>482</v>
      </c>
      <c r="B2" t="s">
        <v>483</v>
      </c>
      <c r="C2" t="s">
        <v>484</v>
      </c>
    </row>
    <row r="3" spans="1:11">
      <c r="A3" t="s">
        <v>385</v>
      </c>
    </row>
    <row r="4" spans="1:11">
      <c r="A4" t="s">
        <v>522</v>
      </c>
      <c r="B4" t="s">
        <v>521</v>
      </c>
      <c r="C4" t="s">
        <v>523</v>
      </c>
    </row>
    <row r="5" spans="1:11">
      <c r="A5" t="s">
        <v>896</v>
      </c>
      <c r="B5" t="s">
        <v>895</v>
      </c>
      <c r="C5" t="s">
        <v>897</v>
      </c>
    </row>
    <row r="6" spans="1:11">
      <c r="A6" t="s">
        <v>903</v>
      </c>
      <c r="B6" t="s">
        <v>902</v>
      </c>
      <c r="C6" t="s">
        <v>904</v>
      </c>
    </row>
    <row r="7" spans="1:11">
      <c r="H7" s="102"/>
    </row>
    <row r="8" spans="1:11">
      <c r="H8" s="102"/>
    </row>
    <row r="11" spans="1:11">
      <c r="H11" s="102"/>
    </row>
    <row r="12" spans="1:11">
      <c r="H12" s="102"/>
    </row>
    <row r="13" spans="1:11">
      <c r="H13" s="102"/>
    </row>
    <row r="14" spans="1:11">
      <c r="K14" s="2"/>
    </row>
    <row r="18" spans="1:3">
      <c r="A18" t="s">
        <v>1094</v>
      </c>
      <c r="B18" t="s">
        <v>1092</v>
      </c>
    </row>
    <row r="19" spans="1:3">
      <c r="C19" t="s">
        <v>1093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5AD4-9D71-45B2-9886-78237570F9D9}">
  <sheetPr codeName="Sheet10"/>
  <dimension ref="A1:H23"/>
  <sheetViews>
    <sheetView workbookViewId="0">
      <selection activeCell="B25" sqref="B25"/>
    </sheetView>
  </sheetViews>
  <sheetFormatPr defaultRowHeight="14.5"/>
  <cols>
    <col min="1" max="1" width="34.7265625" customWidth="1"/>
    <col min="2" max="2" width="130.81640625" customWidth="1"/>
  </cols>
  <sheetData>
    <row r="1" spans="1:8">
      <c r="A1" s="127"/>
    </row>
    <row r="2" spans="1:8" ht="43.5">
      <c r="A2" t="s">
        <v>655</v>
      </c>
      <c r="B2" s="156" t="s">
        <v>654</v>
      </c>
    </row>
    <row r="6" spans="1:8">
      <c r="A6" s="21" t="s">
        <v>905</v>
      </c>
      <c r="B6" t="s">
        <v>899</v>
      </c>
      <c r="C6" t="s">
        <v>906</v>
      </c>
      <c r="D6" t="s">
        <v>900</v>
      </c>
      <c r="H6" s="102"/>
    </row>
    <row r="9" spans="1:8">
      <c r="A9" t="s">
        <v>1088</v>
      </c>
      <c r="B9" t="s">
        <v>1087</v>
      </c>
    </row>
    <row r="11" spans="1:8">
      <c r="A11" t="s">
        <v>1090</v>
      </c>
      <c r="B11" t="s">
        <v>1089</v>
      </c>
    </row>
    <row r="12" spans="1:8">
      <c r="A12" t="s">
        <v>1104</v>
      </c>
      <c r="B12" t="s">
        <v>1102</v>
      </c>
    </row>
    <row r="13" spans="1:8">
      <c r="A13" t="s">
        <v>1105</v>
      </c>
      <c r="B13" t="s">
        <v>1103</v>
      </c>
    </row>
    <row r="15" spans="1:8">
      <c r="A15" t="s">
        <v>1106</v>
      </c>
      <c r="B15" t="s">
        <v>1095</v>
      </c>
    </row>
    <row r="16" spans="1:8">
      <c r="B16" t="s">
        <v>1096</v>
      </c>
    </row>
    <row r="17" spans="2:2">
      <c r="B17" t="s">
        <v>1097</v>
      </c>
    </row>
    <row r="18" spans="2:2">
      <c r="B18" t="s">
        <v>1098</v>
      </c>
    </row>
    <row r="20" spans="2:2">
      <c r="B20" t="s">
        <v>1099</v>
      </c>
    </row>
    <row r="22" spans="2:2">
      <c r="B22" t="s">
        <v>1100</v>
      </c>
    </row>
    <row r="23" spans="2:2">
      <c r="B23" t="s">
        <v>1101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1884-0099-4CA4-AC0F-CFC47A2BECB4}">
  <sheetPr codeName="Sheet3">
    <tabColor theme="4" tint="-0.249977111117893"/>
  </sheetPr>
  <dimension ref="A2:O478"/>
  <sheetViews>
    <sheetView zoomScaleNormal="100" workbookViewId="0">
      <pane ySplit="3" topLeftCell="A21" activePane="bottomLeft" state="frozen"/>
      <selection pane="bottomLeft" activeCell="N36" sqref="N36"/>
    </sheetView>
  </sheetViews>
  <sheetFormatPr defaultRowHeight="14.5"/>
  <cols>
    <col min="1" max="1" width="37" customWidth="1"/>
    <col min="2" max="2" width="10.453125" customWidth="1"/>
    <col min="3" max="3" width="13.54296875" bestFit="1" customWidth="1"/>
    <col min="4" max="4" width="6.7265625" customWidth="1"/>
    <col min="5" max="6" width="11.1796875" customWidth="1"/>
    <col min="7" max="7" width="10.1796875" customWidth="1"/>
    <col min="8" max="8" width="7.453125" customWidth="1"/>
    <col min="9" max="9" width="8.1796875" customWidth="1"/>
    <col min="10" max="10" width="12.26953125" customWidth="1"/>
    <col min="11" max="11" width="6" customWidth="1"/>
    <col min="12" max="12" width="16.453125" style="1" customWidth="1"/>
    <col min="13" max="13" width="20.453125" customWidth="1"/>
    <col min="14" max="14" width="14.54296875" customWidth="1"/>
    <col min="15" max="15" width="61.81640625" customWidth="1"/>
  </cols>
  <sheetData>
    <row r="2" spans="1:15" ht="15" thickBot="1">
      <c r="A2" t="s">
        <v>615</v>
      </c>
    </row>
    <row r="3" spans="1:15" ht="15" thickBot="1">
      <c r="A3" s="45" t="s">
        <v>166</v>
      </c>
      <c r="B3" s="46" t="s">
        <v>167</v>
      </c>
      <c r="C3" s="46" t="s">
        <v>168</v>
      </c>
      <c r="D3" s="46" t="s">
        <v>169</v>
      </c>
      <c r="E3" s="45" t="s">
        <v>180</v>
      </c>
      <c r="F3" s="46" t="s">
        <v>175</v>
      </c>
      <c r="G3" s="45" t="s">
        <v>339</v>
      </c>
      <c r="H3" s="45" t="s">
        <v>315</v>
      </c>
      <c r="I3" s="46" t="s">
        <v>316</v>
      </c>
      <c r="J3" s="92" t="s">
        <v>335</v>
      </c>
      <c r="K3" s="295" t="s">
        <v>331</v>
      </c>
      <c r="L3" s="46" t="s">
        <v>178</v>
      </c>
      <c r="M3" s="46" t="s">
        <v>179</v>
      </c>
      <c r="N3" s="46" t="s">
        <v>313</v>
      </c>
    </row>
    <row r="4" spans="1:15">
      <c r="A4" s="48" t="s">
        <v>190</v>
      </c>
      <c r="B4" s="47" t="s">
        <v>172</v>
      </c>
      <c r="C4" s="53">
        <v>45456</v>
      </c>
      <c r="D4" s="51" t="s">
        <v>139</v>
      </c>
      <c r="E4" s="4">
        <v>72</v>
      </c>
      <c r="F4" s="4">
        <v>3</v>
      </c>
      <c r="G4" s="98">
        <v>1</v>
      </c>
      <c r="H4" s="4">
        <v>0</v>
      </c>
      <c r="I4" s="4">
        <v>1</v>
      </c>
      <c r="J4" s="4">
        <v>1</v>
      </c>
      <c r="K4" s="4"/>
      <c r="L4" s="53">
        <v>45459</v>
      </c>
      <c r="M4" s="56" t="s">
        <v>192</v>
      </c>
      <c r="N4" s="95">
        <v>1.1724537037037035E-2</v>
      </c>
    </row>
    <row r="5" spans="1:15">
      <c r="A5" s="48" t="s">
        <v>191</v>
      </c>
      <c r="B5" s="47" t="s">
        <v>172</v>
      </c>
      <c r="C5" s="53">
        <v>45456</v>
      </c>
      <c r="D5" s="51" t="s">
        <v>139</v>
      </c>
      <c r="E5" s="4">
        <v>72</v>
      </c>
      <c r="F5" s="4">
        <v>5</v>
      </c>
      <c r="G5" s="97">
        <v>1</v>
      </c>
      <c r="H5" s="2">
        <v>0</v>
      </c>
      <c r="I5" s="2">
        <v>1</v>
      </c>
      <c r="J5" s="2">
        <v>1</v>
      </c>
      <c r="K5" s="2"/>
      <c r="L5" s="53">
        <v>45459</v>
      </c>
      <c r="M5" s="56" t="s">
        <v>192</v>
      </c>
      <c r="N5" s="95">
        <v>1.1724537037037035E-2</v>
      </c>
    </row>
    <row r="6" spans="1:15">
      <c r="A6" s="48" t="s">
        <v>176</v>
      </c>
      <c r="B6" s="52" t="s">
        <v>170</v>
      </c>
      <c r="C6" s="53">
        <v>45459</v>
      </c>
      <c r="D6" s="54" t="s">
        <v>139</v>
      </c>
      <c r="E6" s="4">
        <v>216</v>
      </c>
      <c r="F6" s="4">
        <v>68</v>
      </c>
      <c r="G6" s="97">
        <v>1</v>
      </c>
      <c r="H6" s="2">
        <v>0</v>
      </c>
      <c r="I6" s="2">
        <v>1</v>
      </c>
      <c r="J6" s="2">
        <v>1</v>
      </c>
      <c r="K6" s="2"/>
      <c r="L6" s="55">
        <v>45462</v>
      </c>
      <c r="M6" s="4">
        <v>6.1</v>
      </c>
      <c r="N6" s="95">
        <v>1.1481481481481483E-2</v>
      </c>
    </row>
    <row r="7" spans="1:15">
      <c r="A7" s="48" t="s">
        <v>171</v>
      </c>
      <c r="B7" s="47" t="s">
        <v>172</v>
      </c>
      <c r="C7" s="50">
        <v>45461</v>
      </c>
      <c r="D7" s="51" t="s">
        <v>139</v>
      </c>
      <c r="E7" s="2">
        <v>2248</v>
      </c>
      <c r="F7" s="2">
        <v>47195</v>
      </c>
      <c r="G7" s="97">
        <v>1</v>
      </c>
      <c r="H7" s="2">
        <v>0</v>
      </c>
      <c r="I7" s="2">
        <v>1</v>
      </c>
      <c r="J7" s="2">
        <v>1</v>
      </c>
      <c r="K7" s="2"/>
      <c r="L7" s="55">
        <v>45462</v>
      </c>
      <c r="M7" s="2">
        <v>6.1</v>
      </c>
      <c r="N7" s="95">
        <v>1.1481481481481483E-2</v>
      </c>
    </row>
    <row r="8" spans="1:15">
      <c r="A8" s="48" t="s">
        <v>173</v>
      </c>
      <c r="B8" s="47" t="s">
        <v>172</v>
      </c>
      <c r="C8" s="50">
        <v>45461</v>
      </c>
      <c r="D8" s="51" t="s">
        <v>139</v>
      </c>
      <c r="E8" s="2">
        <v>264</v>
      </c>
      <c r="F8" s="2">
        <v>1267</v>
      </c>
      <c r="G8" s="97">
        <v>1</v>
      </c>
      <c r="H8" s="2">
        <v>0</v>
      </c>
      <c r="I8" s="2">
        <v>1</v>
      </c>
      <c r="J8" s="2">
        <v>1</v>
      </c>
      <c r="K8" s="2"/>
      <c r="L8" s="55">
        <v>45462</v>
      </c>
      <c r="M8" s="2">
        <v>6.1</v>
      </c>
      <c r="N8" s="95">
        <v>1.1481481481481483E-2</v>
      </c>
    </row>
    <row r="9" spans="1:15">
      <c r="A9" s="48" t="s">
        <v>174</v>
      </c>
      <c r="B9" s="47" t="s">
        <v>172</v>
      </c>
      <c r="C9" s="50">
        <v>45461</v>
      </c>
      <c r="D9" s="51" t="s">
        <v>139</v>
      </c>
      <c r="E9" s="2">
        <v>72</v>
      </c>
      <c r="F9" s="2">
        <v>33</v>
      </c>
      <c r="G9" s="97">
        <v>1</v>
      </c>
      <c r="H9" s="2">
        <v>0</v>
      </c>
      <c r="I9" s="2">
        <v>1</v>
      </c>
      <c r="J9" s="2">
        <v>1</v>
      </c>
      <c r="K9" s="2"/>
      <c r="L9" s="55">
        <v>45462</v>
      </c>
      <c r="M9" s="2">
        <v>6.1</v>
      </c>
      <c r="N9" s="95">
        <v>1.1481481481481483E-2</v>
      </c>
    </row>
    <row r="10" spans="1:15">
      <c r="A10" s="80" t="s">
        <v>314</v>
      </c>
      <c r="B10" s="47" t="s">
        <v>172</v>
      </c>
      <c r="C10" s="81">
        <v>45496</v>
      </c>
      <c r="D10" s="51" t="s">
        <v>139</v>
      </c>
      <c r="E10" s="2">
        <v>216</v>
      </c>
      <c r="F10" s="2">
        <v>132</v>
      </c>
      <c r="G10" s="97">
        <v>1</v>
      </c>
      <c r="H10" s="2">
        <v>0</v>
      </c>
      <c r="I10" s="2">
        <v>1</v>
      </c>
      <c r="J10" s="2">
        <v>1</v>
      </c>
      <c r="K10" s="2"/>
      <c r="L10" s="101">
        <v>45523</v>
      </c>
      <c r="M10" s="106" t="s">
        <v>341</v>
      </c>
      <c r="N10" s="31"/>
    </row>
    <row r="11" spans="1:15">
      <c r="A11" s="49" t="s">
        <v>327</v>
      </c>
      <c r="B11" s="2" t="s">
        <v>330</v>
      </c>
      <c r="C11" s="81">
        <v>45502</v>
      </c>
      <c r="D11" s="10" t="s">
        <v>141</v>
      </c>
      <c r="E11" s="2">
        <v>137156088</v>
      </c>
      <c r="F11" s="2">
        <v>215512624</v>
      </c>
      <c r="G11" s="97">
        <v>1</v>
      </c>
      <c r="H11" s="2">
        <v>0</v>
      </c>
      <c r="I11" s="2">
        <v>1</v>
      </c>
      <c r="J11" s="2">
        <v>1</v>
      </c>
      <c r="K11" s="2" t="s">
        <v>84</v>
      </c>
      <c r="L11" s="81">
        <v>45506</v>
      </c>
      <c r="M11" s="2" t="s">
        <v>334</v>
      </c>
      <c r="N11" s="96">
        <v>7.3842592592592597E-3</v>
      </c>
    </row>
    <row r="12" spans="1:15">
      <c r="A12" s="49" t="s">
        <v>328</v>
      </c>
      <c r="B12" s="2" t="s">
        <v>330</v>
      </c>
      <c r="C12" s="81">
        <v>45502</v>
      </c>
      <c r="D12" s="10" t="s">
        <v>141</v>
      </c>
      <c r="E12" s="2">
        <v>8032520</v>
      </c>
      <c r="F12" s="2">
        <v>33929178</v>
      </c>
      <c r="G12" s="97">
        <v>1</v>
      </c>
      <c r="H12" s="2">
        <v>0</v>
      </c>
      <c r="I12" s="2">
        <v>1</v>
      </c>
      <c r="J12" s="2">
        <v>1</v>
      </c>
      <c r="K12" s="2" t="s">
        <v>84</v>
      </c>
      <c r="L12" s="81">
        <v>45506</v>
      </c>
      <c r="M12" s="2" t="s">
        <v>334</v>
      </c>
      <c r="N12" s="96">
        <v>7.3842592592592597E-3</v>
      </c>
    </row>
    <row r="13" spans="1:15">
      <c r="A13" s="49" t="s">
        <v>329</v>
      </c>
      <c r="B13" s="2" t="s">
        <v>330</v>
      </c>
      <c r="C13" s="81">
        <v>45502</v>
      </c>
      <c r="D13" s="10" t="s">
        <v>141</v>
      </c>
      <c r="E13" s="2">
        <v>1915888</v>
      </c>
      <c r="F13" s="2">
        <v>9268296</v>
      </c>
      <c r="G13" s="97">
        <v>1</v>
      </c>
      <c r="H13" s="2">
        <v>0</v>
      </c>
      <c r="I13" s="2">
        <v>1</v>
      </c>
      <c r="J13" s="2">
        <v>1</v>
      </c>
      <c r="K13" s="2" t="s">
        <v>84</v>
      </c>
      <c r="L13" s="81">
        <v>45506</v>
      </c>
      <c r="M13" s="2" t="s">
        <v>334</v>
      </c>
      <c r="N13" s="96">
        <v>7.3842592592592597E-3</v>
      </c>
    </row>
    <row r="14" spans="1:15">
      <c r="A14" s="49" t="s">
        <v>336</v>
      </c>
      <c r="B14" s="2" t="s">
        <v>170</v>
      </c>
      <c r="C14" s="81">
        <v>45501</v>
      </c>
      <c r="D14" s="51" t="s">
        <v>139</v>
      </c>
      <c r="E14" s="97">
        <v>170106016</v>
      </c>
      <c r="F14" s="97">
        <v>3593751</v>
      </c>
      <c r="G14" s="100">
        <v>0</v>
      </c>
      <c r="H14" s="2">
        <v>0</v>
      </c>
      <c r="I14" s="2">
        <v>1</v>
      </c>
      <c r="J14" s="2">
        <v>1</v>
      </c>
      <c r="K14" s="2"/>
      <c r="L14" s="81">
        <v>45508</v>
      </c>
      <c r="M14" s="99" t="s">
        <v>337</v>
      </c>
      <c r="N14" s="102">
        <v>1.3703703703703704E-2</v>
      </c>
      <c r="O14" t="s">
        <v>338</v>
      </c>
    </row>
    <row r="15" spans="1:15">
      <c r="A15" s="104" t="s">
        <v>340</v>
      </c>
      <c r="B15" s="2" t="s">
        <v>50</v>
      </c>
      <c r="C15" s="81">
        <v>45523</v>
      </c>
      <c r="D15" s="10" t="s">
        <v>139</v>
      </c>
      <c r="E15" s="97"/>
      <c r="F15" s="97"/>
      <c r="G15" s="97"/>
      <c r="H15" s="2"/>
      <c r="I15" s="2"/>
      <c r="J15" s="2"/>
      <c r="K15" s="2" t="s">
        <v>341</v>
      </c>
      <c r="L15" s="101">
        <v>45523</v>
      </c>
      <c r="M15" s="5">
        <v>6.1</v>
      </c>
      <c r="N15" s="31"/>
      <c r="O15" s="105" t="s">
        <v>342</v>
      </c>
    </row>
    <row r="16" spans="1:15">
      <c r="A16" s="49" t="s">
        <v>488</v>
      </c>
      <c r="B16" s="47" t="s">
        <v>172</v>
      </c>
      <c r="C16" s="81">
        <v>45592</v>
      </c>
      <c r="D16" s="10" t="s">
        <v>139</v>
      </c>
      <c r="E16" s="2">
        <v>0</v>
      </c>
      <c r="F16" s="2">
        <v>0</v>
      </c>
      <c r="G16" s="97">
        <v>1</v>
      </c>
      <c r="H16" s="2">
        <v>0</v>
      </c>
      <c r="I16" s="2">
        <v>1</v>
      </c>
      <c r="J16" s="2">
        <v>1</v>
      </c>
      <c r="K16" s="2"/>
      <c r="L16" s="81">
        <v>45592</v>
      </c>
      <c r="M16" s="99" t="s">
        <v>192</v>
      </c>
      <c r="N16" s="293">
        <v>1.3310185185185187E-2</v>
      </c>
    </row>
    <row r="17" spans="1:15">
      <c r="A17" s="49" t="s">
        <v>569</v>
      </c>
      <c r="B17" s="2" t="s">
        <v>170</v>
      </c>
      <c r="C17" s="81">
        <v>45630</v>
      </c>
      <c r="D17" s="10" t="s">
        <v>139</v>
      </c>
      <c r="E17" s="2">
        <v>0</v>
      </c>
      <c r="F17" s="2">
        <v>0</v>
      </c>
      <c r="G17" s="97">
        <v>1</v>
      </c>
      <c r="H17" s="2">
        <v>0</v>
      </c>
      <c r="I17" s="2">
        <v>1</v>
      </c>
      <c r="J17" s="2">
        <v>1</v>
      </c>
      <c r="K17" s="2"/>
      <c r="L17" s="81">
        <v>45630</v>
      </c>
      <c r="M17" s="2" t="s">
        <v>571</v>
      </c>
      <c r="N17" s="293">
        <v>2.5462962962962961E-4</v>
      </c>
    </row>
    <row r="18" spans="1:15">
      <c r="A18" s="49" t="s">
        <v>570</v>
      </c>
      <c r="B18" s="2" t="s">
        <v>170</v>
      </c>
      <c r="C18" s="81">
        <v>45630</v>
      </c>
      <c r="D18" s="10" t="s">
        <v>139</v>
      </c>
      <c r="E18" s="2">
        <v>0</v>
      </c>
      <c r="F18" s="2">
        <v>0</v>
      </c>
      <c r="G18" s="97">
        <v>1</v>
      </c>
      <c r="H18" s="2">
        <v>0</v>
      </c>
      <c r="I18" s="2">
        <v>1</v>
      </c>
      <c r="J18" s="2">
        <v>1</v>
      </c>
      <c r="K18" s="2"/>
      <c r="L18" s="81">
        <v>45630</v>
      </c>
      <c r="M18" s="2" t="s">
        <v>571</v>
      </c>
      <c r="N18" s="293">
        <v>2.5462962962962961E-4</v>
      </c>
    </row>
    <row r="19" spans="1:15">
      <c r="A19" s="294" t="s">
        <v>586</v>
      </c>
      <c r="B19" s="2" t="s">
        <v>170</v>
      </c>
      <c r="C19" s="81">
        <v>45634</v>
      </c>
      <c r="D19" s="10" t="s">
        <v>139</v>
      </c>
      <c r="E19" s="2">
        <v>0</v>
      </c>
      <c r="F19" s="2">
        <v>0</v>
      </c>
      <c r="G19" s="97">
        <v>1</v>
      </c>
      <c r="H19" s="2">
        <v>0</v>
      </c>
      <c r="I19" s="2">
        <v>1</v>
      </c>
      <c r="J19" s="2">
        <v>1</v>
      </c>
      <c r="K19" s="2"/>
      <c r="L19" s="81">
        <v>45635</v>
      </c>
      <c r="M19" s="2" t="s">
        <v>571</v>
      </c>
      <c r="N19" s="293">
        <v>2.5462962962962961E-4</v>
      </c>
    </row>
    <row r="20" spans="1:15">
      <c r="A20" s="294" t="s">
        <v>587</v>
      </c>
      <c r="B20" s="2" t="s">
        <v>170</v>
      </c>
      <c r="C20" s="81">
        <v>45634</v>
      </c>
      <c r="D20" s="10" t="s">
        <v>139</v>
      </c>
      <c r="E20" s="2">
        <v>0</v>
      </c>
      <c r="F20" s="2">
        <v>0</v>
      </c>
      <c r="G20" s="97">
        <v>1</v>
      </c>
      <c r="H20" s="2">
        <v>0</v>
      </c>
      <c r="I20" s="2">
        <v>1</v>
      </c>
      <c r="J20" s="2">
        <v>1</v>
      </c>
      <c r="K20" s="2"/>
      <c r="L20" s="81">
        <v>45635</v>
      </c>
      <c r="M20" s="2" t="s">
        <v>571</v>
      </c>
      <c r="N20" s="293">
        <v>2.5462962962962961E-4</v>
      </c>
    </row>
    <row r="21" spans="1:15">
      <c r="A21" s="294" t="s">
        <v>588</v>
      </c>
      <c r="B21" s="2" t="s">
        <v>170</v>
      </c>
      <c r="C21" s="81">
        <v>45634</v>
      </c>
      <c r="D21" s="10" t="s">
        <v>139</v>
      </c>
      <c r="E21" s="2">
        <v>0</v>
      </c>
      <c r="F21" s="2">
        <v>0</v>
      </c>
      <c r="G21" s="97">
        <v>1</v>
      </c>
      <c r="H21" s="2">
        <v>0</v>
      </c>
      <c r="I21" s="2">
        <v>1</v>
      </c>
      <c r="J21" s="2">
        <v>1</v>
      </c>
      <c r="K21" s="2"/>
      <c r="L21" s="81">
        <v>45635</v>
      </c>
      <c r="M21" s="2" t="s">
        <v>571</v>
      </c>
      <c r="N21" s="293">
        <v>1.0416666666666667E-4</v>
      </c>
      <c r="O21" t="s">
        <v>572</v>
      </c>
    </row>
    <row r="22" spans="1:15">
      <c r="A22" s="49" t="s">
        <v>614</v>
      </c>
      <c r="B22" s="49">
        <v>3762</v>
      </c>
      <c r="C22" s="81">
        <v>45663</v>
      </c>
      <c r="D22" s="10" t="s">
        <v>139</v>
      </c>
      <c r="E22" s="2">
        <v>0</v>
      </c>
      <c r="F22" s="2">
        <v>0</v>
      </c>
      <c r="G22" s="97">
        <v>1</v>
      </c>
      <c r="H22" s="2">
        <v>0</v>
      </c>
      <c r="I22" s="2">
        <v>1</v>
      </c>
      <c r="J22" s="2">
        <v>1</v>
      </c>
      <c r="K22" s="49">
        <v>6.1</v>
      </c>
      <c r="L22" s="81">
        <v>45663</v>
      </c>
      <c r="M22" s="2" t="s">
        <v>571</v>
      </c>
      <c r="N22" s="293">
        <v>1.0416666666666667E-4</v>
      </c>
      <c r="O22" s="131" t="s">
        <v>573</v>
      </c>
    </row>
    <row r="23" spans="1:15">
      <c r="A23" s="49" t="s">
        <v>176</v>
      </c>
      <c r="B23" s="49">
        <v>3762</v>
      </c>
      <c r="C23" s="81">
        <v>45663</v>
      </c>
      <c r="D23" s="10" t="s">
        <v>139</v>
      </c>
      <c r="E23" s="97">
        <v>0</v>
      </c>
      <c r="F23" s="97">
        <v>0</v>
      </c>
      <c r="G23" s="97">
        <v>1</v>
      </c>
      <c r="H23" s="2">
        <v>0</v>
      </c>
      <c r="I23" s="2">
        <v>1</v>
      </c>
      <c r="J23" s="2">
        <v>1</v>
      </c>
      <c r="K23" s="2" t="s">
        <v>192</v>
      </c>
      <c r="L23" s="81">
        <v>45663</v>
      </c>
      <c r="M23" s="2" t="s">
        <v>571</v>
      </c>
      <c r="N23" s="293">
        <v>1.0416666666666667E-4</v>
      </c>
      <c r="O23" s="131" t="s">
        <v>574</v>
      </c>
    </row>
    <row r="24" spans="1:15">
      <c r="A24" s="296" t="s">
        <v>616</v>
      </c>
      <c r="B24" s="49">
        <v>3782</v>
      </c>
      <c r="C24" s="81">
        <v>45666</v>
      </c>
      <c r="D24" s="10" t="s">
        <v>139</v>
      </c>
      <c r="E24" s="97">
        <v>0</v>
      </c>
      <c r="F24" s="97">
        <v>0</v>
      </c>
      <c r="G24" s="97">
        <v>1</v>
      </c>
      <c r="H24" s="2">
        <v>0</v>
      </c>
      <c r="I24" s="2">
        <v>1</v>
      </c>
      <c r="J24" s="2">
        <v>1</v>
      </c>
      <c r="K24" s="2"/>
      <c r="L24" s="81"/>
      <c r="M24" s="2"/>
      <c r="N24" s="2"/>
      <c r="O24" s="131" t="s">
        <v>575</v>
      </c>
    </row>
    <row r="25" spans="1:15">
      <c r="A25" s="49" t="s">
        <v>651</v>
      </c>
      <c r="B25" s="2" t="s">
        <v>170</v>
      </c>
      <c r="C25" s="81">
        <v>45700</v>
      </c>
      <c r="D25" s="10" t="s">
        <v>139</v>
      </c>
      <c r="E25" s="97">
        <v>0.08</v>
      </c>
      <c r="F25" s="97">
        <v>3</v>
      </c>
      <c r="G25" s="97">
        <v>1</v>
      </c>
      <c r="H25" s="2">
        <v>0</v>
      </c>
      <c r="I25" s="2">
        <v>1</v>
      </c>
      <c r="J25" s="2">
        <v>1</v>
      </c>
      <c r="K25" s="2"/>
      <c r="L25" s="81">
        <v>45700</v>
      </c>
      <c r="M25" s="2" t="s">
        <v>571</v>
      </c>
      <c r="N25" s="293">
        <v>1.273148148148148E-4</v>
      </c>
      <c r="O25" s="131" t="s">
        <v>576</v>
      </c>
    </row>
    <row r="26" spans="1:15">
      <c r="A26" s="33" t="s">
        <v>947</v>
      </c>
      <c r="B26" s="2" t="s">
        <v>170</v>
      </c>
      <c r="C26" s="81">
        <v>45761</v>
      </c>
      <c r="D26" s="10" t="s">
        <v>139</v>
      </c>
      <c r="E26" s="2">
        <v>0</v>
      </c>
      <c r="F26" s="2">
        <v>0</v>
      </c>
      <c r="G26" s="97">
        <v>1</v>
      </c>
      <c r="H26" s="2">
        <v>0</v>
      </c>
      <c r="I26" s="2">
        <v>1</v>
      </c>
      <c r="J26" s="2">
        <v>1</v>
      </c>
      <c r="K26" s="2"/>
      <c r="L26" s="81">
        <v>45761</v>
      </c>
      <c r="M26" s="2" t="s">
        <v>571</v>
      </c>
      <c r="N26" s="293">
        <v>1.0416666666666667E-4</v>
      </c>
      <c r="O26" s="131" t="s">
        <v>577</v>
      </c>
    </row>
    <row r="27" spans="1:15">
      <c r="A27" s="33" t="s">
        <v>948</v>
      </c>
      <c r="B27" s="2" t="s">
        <v>170</v>
      </c>
      <c r="C27" s="81">
        <v>45761</v>
      </c>
      <c r="D27" s="10" t="s">
        <v>139</v>
      </c>
      <c r="E27" s="2">
        <v>0</v>
      </c>
      <c r="F27" s="2">
        <v>0</v>
      </c>
      <c r="G27" s="97">
        <v>1</v>
      </c>
      <c r="H27" s="2">
        <v>0</v>
      </c>
      <c r="I27" s="2">
        <v>1</v>
      </c>
      <c r="J27" s="2">
        <v>1</v>
      </c>
      <c r="K27" s="2"/>
      <c r="L27" s="81">
        <v>45761</v>
      </c>
      <c r="M27" s="2" t="s">
        <v>571</v>
      </c>
      <c r="N27" s="293">
        <v>1.0416666666666667E-4</v>
      </c>
      <c r="O27" s="131" t="s">
        <v>578</v>
      </c>
    </row>
    <row r="28" spans="1:15">
      <c r="A28" s="49" t="s">
        <v>949</v>
      </c>
      <c r="B28" s="2" t="s">
        <v>170</v>
      </c>
      <c r="C28" s="81">
        <v>45762</v>
      </c>
      <c r="D28" s="10" t="s">
        <v>139</v>
      </c>
      <c r="E28" s="2">
        <v>0</v>
      </c>
      <c r="F28" s="2">
        <v>0</v>
      </c>
      <c r="G28" s="97">
        <v>1</v>
      </c>
      <c r="H28" s="2">
        <v>0</v>
      </c>
      <c r="I28" s="2">
        <v>1</v>
      </c>
      <c r="J28" s="2">
        <v>1</v>
      </c>
      <c r="K28" s="2"/>
      <c r="L28" s="81">
        <v>45762</v>
      </c>
      <c r="M28" s="2" t="s">
        <v>571</v>
      </c>
      <c r="N28" s="293">
        <v>1.0416666666666667E-4</v>
      </c>
      <c r="O28" s="131" t="s">
        <v>579</v>
      </c>
    </row>
    <row r="29" spans="1:15">
      <c r="A29" s="49" t="s">
        <v>1016</v>
      </c>
      <c r="B29" s="2" t="s">
        <v>170</v>
      </c>
      <c r="C29" s="81">
        <v>45791</v>
      </c>
      <c r="D29" s="10" t="s">
        <v>139</v>
      </c>
      <c r="E29" s="2">
        <v>0</v>
      </c>
      <c r="F29" s="2">
        <v>0</v>
      </c>
      <c r="G29" s="97">
        <v>1</v>
      </c>
      <c r="H29" s="2">
        <v>0</v>
      </c>
      <c r="I29" s="2">
        <v>1</v>
      </c>
      <c r="J29" s="2">
        <v>1</v>
      </c>
      <c r="K29" s="2"/>
      <c r="L29" s="81">
        <v>45792</v>
      </c>
      <c r="M29" s="2" t="s">
        <v>571</v>
      </c>
      <c r="N29" s="293">
        <v>1.0416666666666667E-4</v>
      </c>
      <c r="O29" s="131" t="s">
        <v>580</v>
      </c>
    </row>
    <row r="30" spans="1:15">
      <c r="A30" s="49" t="s">
        <v>1017</v>
      </c>
      <c r="B30" s="2" t="s">
        <v>170</v>
      </c>
      <c r="C30" s="81">
        <v>45791</v>
      </c>
      <c r="D30" s="10" t="s">
        <v>139</v>
      </c>
      <c r="E30" s="2">
        <v>0</v>
      </c>
      <c r="F30" s="2">
        <v>0</v>
      </c>
      <c r="G30" s="97">
        <v>1</v>
      </c>
      <c r="H30" s="2">
        <v>0</v>
      </c>
      <c r="I30" s="2">
        <v>1</v>
      </c>
      <c r="J30" s="2">
        <v>1</v>
      </c>
      <c r="K30" s="2"/>
      <c r="L30" s="81">
        <v>45792</v>
      </c>
      <c r="M30" s="2" t="s">
        <v>571</v>
      </c>
      <c r="N30" s="293">
        <v>1.0416666666666667E-4</v>
      </c>
    </row>
    <row r="31" spans="1:15">
      <c r="A31" s="49" t="s">
        <v>1018</v>
      </c>
      <c r="B31" s="2" t="s">
        <v>170</v>
      </c>
      <c r="C31" s="81">
        <v>45791</v>
      </c>
      <c r="D31" s="10" t="s">
        <v>139</v>
      </c>
      <c r="E31" s="2">
        <v>0</v>
      </c>
      <c r="F31" s="2">
        <v>0</v>
      </c>
      <c r="G31" s="97">
        <v>1</v>
      </c>
      <c r="H31" s="2">
        <v>0</v>
      </c>
      <c r="I31" s="2">
        <v>1</v>
      </c>
      <c r="J31" s="2">
        <v>1</v>
      </c>
      <c r="K31" s="2"/>
      <c r="L31" s="81">
        <v>45792</v>
      </c>
      <c r="M31" s="2" t="s">
        <v>571</v>
      </c>
      <c r="N31" s="293">
        <v>1.0416666666666667E-4</v>
      </c>
      <c r="O31" s="163" t="s">
        <v>581</v>
      </c>
    </row>
    <row r="32" spans="1:15">
      <c r="A32" s="297" t="s">
        <v>1019</v>
      </c>
      <c r="B32" s="47" t="s">
        <v>172</v>
      </c>
      <c r="C32" s="81">
        <v>45791</v>
      </c>
      <c r="D32" s="10" t="s">
        <v>139</v>
      </c>
      <c r="E32" s="2">
        <v>0</v>
      </c>
      <c r="F32" s="2">
        <v>0</v>
      </c>
      <c r="G32" s="97">
        <v>1</v>
      </c>
      <c r="H32" s="2">
        <v>0</v>
      </c>
      <c r="I32" s="2">
        <v>1</v>
      </c>
      <c r="J32" s="2">
        <v>1</v>
      </c>
      <c r="K32" s="2"/>
      <c r="L32" s="81">
        <v>45796</v>
      </c>
      <c r="M32" s="2" t="s">
        <v>571</v>
      </c>
      <c r="N32" s="293">
        <v>1.0416666666666667E-4</v>
      </c>
      <c r="O32" s="131" t="s">
        <v>573</v>
      </c>
    </row>
    <row r="33" spans="1:15">
      <c r="A33" s="49" t="s">
        <v>1020</v>
      </c>
      <c r="B33" s="47" t="s">
        <v>172</v>
      </c>
      <c r="C33" s="81">
        <v>45791</v>
      </c>
      <c r="D33" s="10" t="s">
        <v>139</v>
      </c>
      <c r="E33" s="2">
        <v>0</v>
      </c>
      <c r="F33" s="2">
        <v>0</v>
      </c>
      <c r="G33" s="97">
        <v>1</v>
      </c>
      <c r="H33" s="2">
        <v>0</v>
      </c>
      <c r="I33" s="2">
        <v>1</v>
      </c>
      <c r="J33" s="2">
        <v>1</v>
      </c>
      <c r="K33" s="2"/>
      <c r="L33" s="81">
        <v>45797</v>
      </c>
      <c r="M33" s="2" t="s">
        <v>571</v>
      </c>
      <c r="N33" s="293">
        <v>1.0416666666666667E-4</v>
      </c>
      <c r="O33" s="131" t="s">
        <v>574</v>
      </c>
    </row>
    <row r="34" spans="1:15">
      <c r="A34" s="49" t="s">
        <v>1069</v>
      </c>
      <c r="B34" s="2" t="s">
        <v>170</v>
      </c>
      <c r="C34" s="10" t="s">
        <v>1072</v>
      </c>
      <c r="D34" s="10" t="s">
        <v>139</v>
      </c>
      <c r="E34" s="2">
        <v>0</v>
      </c>
      <c r="F34" s="2">
        <v>0</v>
      </c>
      <c r="G34" s="97">
        <v>1</v>
      </c>
      <c r="H34" s="2">
        <v>0</v>
      </c>
      <c r="I34" s="2">
        <v>1</v>
      </c>
      <c r="J34" s="2">
        <v>1</v>
      </c>
      <c r="K34" s="2"/>
      <c r="L34" s="10" t="s">
        <v>1072</v>
      </c>
      <c r="M34" s="2" t="s">
        <v>571</v>
      </c>
      <c r="N34" s="2"/>
      <c r="O34" s="131" t="s">
        <v>582</v>
      </c>
    </row>
    <row r="35" spans="1:15">
      <c r="A35" s="49" t="s">
        <v>1070</v>
      </c>
      <c r="B35" s="2" t="s">
        <v>170</v>
      </c>
      <c r="C35" s="10" t="s">
        <v>1072</v>
      </c>
      <c r="D35" s="10" t="s">
        <v>139</v>
      </c>
      <c r="E35" s="2">
        <v>0</v>
      </c>
      <c r="F35" s="2">
        <v>0</v>
      </c>
      <c r="G35" s="97">
        <v>1</v>
      </c>
      <c r="H35" s="2">
        <v>0</v>
      </c>
      <c r="I35" s="2">
        <v>1</v>
      </c>
      <c r="J35" s="2">
        <v>1</v>
      </c>
      <c r="K35" s="2"/>
      <c r="L35" s="10" t="s">
        <v>1072</v>
      </c>
      <c r="M35" s="2" t="s">
        <v>571</v>
      </c>
      <c r="N35" s="2"/>
      <c r="O35" s="131" t="s">
        <v>576</v>
      </c>
    </row>
    <row r="36" spans="1:15">
      <c r="A36" s="49" t="s">
        <v>1071</v>
      </c>
      <c r="B36" s="2" t="s">
        <v>170</v>
      </c>
      <c r="C36" s="10" t="s">
        <v>1072</v>
      </c>
      <c r="D36" s="10" t="s">
        <v>139</v>
      </c>
      <c r="E36" s="2">
        <v>0</v>
      </c>
      <c r="F36" s="2">
        <v>0</v>
      </c>
      <c r="G36" s="97">
        <v>1</v>
      </c>
      <c r="H36" s="2">
        <v>0</v>
      </c>
      <c r="I36" s="2">
        <v>1</v>
      </c>
      <c r="J36" s="2">
        <v>1</v>
      </c>
      <c r="K36" s="2"/>
      <c r="L36" s="10" t="s">
        <v>1072</v>
      </c>
      <c r="M36" s="2" t="s">
        <v>571</v>
      </c>
      <c r="N36" s="2"/>
      <c r="O36" s="131" t="s">
        <v>583</v>
      </c>
    </row>
    <row r="37" spans="1:15">
      <c r="A37" s="49" t="s">
        <v>1531</v>
      </c>
      <c r="B37" s="2" t="s">
        <v>170</v>
      </c>
      <c r="C37" s="10" t="s">
        <v>1532</v>
      </c>
      <c r="D37" s="10" t="s">
        <v>139</v>
      </c>
      <c r="E37" s="2">
        <v>0</v>
      </c>
      <c r="F37" s="2">
        <v>0</v>
      </c>
      <c r="G37" s="97">
        <v>1</v>
      </c>
      <c r="H37" s="2">
        <v>0</v>
      </c>
      <c r="I37" s="2">
        <v>1</v>
      </c>
      <c r="J37" s="2">
        <v>1</v>
      </c>
      <c r="K37" s="2"/>
      <c r="L37" s="10" t="s">
        <v>1532</v>
      </c>
      <c r="M37" s="2" t="s">
        <v>571</v>
      </c>
      <c r="N37" s="293">
        <v>1.4583333333333334E-2</v>
      </c>
      <c r="O37" s="131" t="s">
        <v>584</v>
      </c>
    </row>
    <row r="38" spans="1:15">
      <c r="A38" s="49"/>
      <c r="B38" s="2"/>
      <c r="C38" s="10"/>
      <c r="D38" s="10"/>
      <c r="E38" s="97"/>
      <c r="F38" s="97"/>
      <c r="G38" s="2"/>
      <c r="H38" s="2"/>
      <c r="I38" s="2"/>
      <c r="J38" s="2"/>
      <c r="K38" s="2"/>
      <c r="L38" s="10"/>
      <c r="M38" s="2"/>
      <c r="N38" s="2"/>
      <c r="O38" s="131" t="s">
        <v>585</v>
      </c>
    </row>
    <row r="39" spans="1:15">
      <c r="A39" s="21"/>
      <c r="C39" s="1"/>
      <c r="D39" s="1"/>
      <c r="E39" s="94"/>
      <c r="F39" s="94"/>
    </row>
    <row r="40" spans="1:15">
      <c r="A40" s="21"/>
      <c r="C40" s="1"/>
      <c r="D40" s="1"/>
      <c r="E40" s="94"/>
      <c r="F40" s="94"/>
      <c r="O40" t="s">
        <v>901</v>
      </c>
    </row>
    <row r="41" spans="1:15">
      <c r="A41" s="21"/>
      <c r="C41" s="1"/>
      <c r="D41" s="1"/>
      <c r="E41" s="94"/>
      <c r="F41" s="94"/>
    </row>
    <row r="42" spans="1:15">
      <c r="A42" s="21"/>
      <c r="C42" s="1"/>
      <c r="D42" s="1"/>
      <c r="E42" s="94"/>
      <c r="F42" s="94"/>
    </row>
    <row r="43" spans="1:15">
      <c r="A43" s="21"/>
      <c r="C43" s="1"/>
      <c r="D43" s="1"/>
      <c r="E43" s="94"/>
      <c r="F43" s="94"/>
    </row>
    <row r="44" spans="1:15">
      <c r="A44" s="21"/>
      <c r="C44" s="1"/>
      <c r="D44" s="1"/>
      <c r="E44" s="94"/>
      <c r="F44" s="94"/>
    </row>
    <row r="45" spans="1:15">
      <c r="A45" s="21"/>
      <c r="C45" s="1"/>
      <c r="D45" s="1"/>
      <c r="E45" s="94"/>
      <c r="F45" s="94"/>
    </row>
    <row r="46" spans="1:15">
      <c r="A46" s="21"/>
      <c r="C46" s="1"/>
      <c r="D46" s="1"/>
      <c r="E46" s="94"/>
      <c r="F46" s="94"/>
    </row>
    <row r="47" spans="1:15">
      <c r="A47" s="21"/>
      <c r="C47" s="1"/>
      <c r="D47" s="1"/>
      <c r="E47" s="94"/>
      <c r="F47" s="94"/>
    </row>
    <row r="48" spans="1:15">
      <c r="A48" s="21"/>
      <c r="C48" s="1"/>
      <c r="D48" s="1"/>
      <c r="E48" s="94"/>
      <c r="F48" s="94"/>
    </row>
    <row r="49" spans="1:6">
      <c r="A49" s="21"/>
      <c r="C49" s="1"/>
      <c r="D49" s="1"/>
      <c r="E49" s="94"/>
      <c r="F49" s="94"/>
    </row>
    <row r="50" spans="1:6">
      <c r="A50" s="21"/>
      <c r="C50" s="1"/>
      <c r="D50" s="1"/>
      <c r="E50" s="94"/>
      <c r="F50" s="94"/>
    </row>
    <row r="51" spans="1:6">
      <c r="A51" s="21"/>
      <c r="C51" s="1"/>
      <c r="D51" s="1"/>
      <c r="E51" s="94"/>
      <c r="F51" s="94"/>
    </row>
    <row r="52" spans="1:6">
      <c r="A52" s="21"/>
      <c r="C52" s="1"/>
      <c r="D52" s="1"/>
      <c r="E52" s="94"/>
      <c r="F52" s="94"/>
    </row>
    <row r="53" spans="1:6">
      <c r="A53" s="21"/>
      <c r="C53" s="1"/>
      <c r="D53" s="1"/>
    </row>
    <row r="54" spans="1:6">
      <c r="A54" s="21"/>
      <c r="C54" s="1"/>
      <c r="D54" s="1"/>
    </row>
    <row r="55" spans="1:6">
      <c r="A55" s="21"/>
      <c r="C55" s="1"/>
      <c r="D55" s="1"/>
    </row>
    <row r="56" spans="1:6">
      <c r="A56" s="21"/>
      <c r="C56" s="1"/>
      <c r="D56" s="1"/>
    </row>
    <row r="57" spans="1:6">
      <c r="A57" s="21"/>
      <c r="C57" s="1"/>
      <c r="D57" s="1"/>
    </row>
    <row r="58" spans="1:6">
      <c r="A58" s="21"/>
      <c r="C58" s="1"/>
      <c r="D58" s="1"/>
    </row>
    <row r="59" spans="1:6">
      <c r="A59" s="21"/>
      <c r="C59" s="1"/>
      <c r="D59" s="1"/>
    </row>
    <row r="60" spans="1:6">
      <c r="A60" s="21"/>
      <c r="C60" s="1"/>
      <c r="D60" s="1"/>
    </row>
    <row r="61" spans="1:6">
      <c r="A61" s="21"/>
      <c r="C61" s="1"/>
      <c r="D61" s="1"/>
    </row>
    <row r="62" spans="1:6">
      <c r="A62" s="21"/>
      <c r="C62" s="1"/>
      <c r="D62" s="1"/>
    </row>
    <row r="63" spans="1:6">
      <c r="A63" s="21"/>
      <c r="C63" s="1"/>
      <c r="D63" s="1"/>
    </row>
    <row r="64" spans="1:6">
      <c r="A64" s="21"/>
      <c r="C64" s="1"/>
      <c r="D64" s="1"/>
    </row>
    <row r="65" spans="1:4">
      <c r="A65" s="21"/>
      <c r="C65" s="1"/>
      <c r="D65" s="1"/>
    </row>
    <row r="66" spans="1:4">
      <c r="A66" s="21"/>
      <c r="C66" s="1"/>
      <c r="D66" s="1"/>
    </row>
    <row r="67" spans="1:4">
      <c r="A67" s="21"/>
      <c r="C67" s="1"/>
      <c r="D67" s="1"/>
    </row>
    <row r="68" spans="1:4">
      <c r="A68" s="21"/>
      <c r="C68" s="1"/>
      <c r="D68" s="1"/>
    </row>
    <row r="69" spans="1:4">
      <c r="A69" s="21"/>
      <c r="C69" s="1"/>
      <c r="D69" s="1"/>
    </row>
    <row r="70" spans="1:4">
      <c r="A70" s="21"/>
      <c r="C70" s="1"/>
      <c r="D70" s="1"/>
    </row>
    <row r="71" spans="1:4">
      <c r="A71" s="21"/>
      <c r="C71" s="1"/>
      <c r="D71" s="1"/>
    </row>
    <row r="72" spans="1:4">
      <c r="A72" s="21"/>
      <c r="C72" s="1"/>
      <c r="D72" s="1"/>
    </row>
    <row r="73" spans="1:4">
      <c r="A73" s="21"/>
      <c r="C73" s="1"/>
      <c r="D73" s="1"/>
    </row>
    <row r="74" spans="1:4">
      <c r="A74" s="21"/>
      <c r="C74" s="1"/>
      <c r="D74" s="1"/>
    </row>
    <row r="75" spans="1:4">
      <c r="A75" s="21"/>
      <c r="C75" s="1"/>
      <c r="D75" s="1"/>
    </row>
    <row r="76" spans="1:4">
      <c r="A76" s="21"/>
      <c r="C76" s="1"/>
      <c r="D76" s="1"/>
    </row>
    <row r="77" spans="1:4">
      <c r="A77" s="21"/>
      <c r="C77" s="1"/>
      <c r="D77" s="1"/>
    </row>
    <row r="78" spans="1:4">
      <c r="A78" s="21"/>
      <c r="C78" s="1"/>
      <c r="D78" s="1"/>
    </row>
    <row r="79" spans="1:4">
      <c r="A79" s="21"/>
      <c r="C79" s="1"/>
      <c r="D79" s="1"/>
    </row>
    <row r="80" spans="1:4">
      <c r="A80" s="21"/>
      <c r="C80" s="1"/>
      <c r="D80" s="1"/>
    </row>
    <row r="81" spans="1:4">
      <c r="A81" s="21"/>
      <c r="C81" s="1"/>
      <c r="D81" s="1"/>
    </row>
    <row r="82" spans="1:4">
      <c r="A82" s="21"/>
      <c r="C82" s="1"/>
      <c r="D82" s="1"/>
    </row>
    <row r="83" spans="1:4">
      <c r="A83" s="21"/>
      <c r="C83" s="1"/>
      <c r="D83" s="1"/>
    </row>
    <row r="84" spans="1:4">
      <c r="A84" s="21"/>
      <c r="C84" s="1"/>
      <c r="D84" s="1"/>
    </row>
    <row r="85" spans="1:4">
      <c r="A85" s="21"/>
      <c r="C85" s="1"/>
      <c r="D85" s="1"/>
    </row>
    <row r="86" spans="1:4">
      <c r="A86" s="21"/>
      <c r="C86" s="1"/>
      <c r="D86" s="1"/>
    </row>
    <row r="87" spans="1:4">
      <c r="A87" s="21"/>
      <c r="C87" s="1"/>
      <c r="D87" s="1"/>
    </row>
    <row r="88" spans="1:4">
      <c r="A88" s="21"/>
      <c r="C88" s="1"/>
      <c r="D88" s="1"/>
    </row>
    <row r="89" spans="1:4">
      <c r="A89" s="21"/>
      <c r="C89" s="1"/>
      <c r="D89" s="1"/>
    </row>
    <row r="90" spans="1:4">
      <c r="A90" s="21"/>
      <c r="C90" s="1"/>
      <c r="D90" s="1"/>
    </row>
    <row r="91" spans="1:4">
      <c r="A91" s="21"/>
      <c r="C91" s="1"/>
      <c r="D91" s="1"/>
    </row>
    <row r="92" spans="1:4">
      <c r="A92" s="21"/>
      <c r="C92" s="1"/>
      <c r="D92" s="1"/>
    </row>
    <row r="93" spans="1:4">
      <c r="A93" s="21"/>
      <c r="C93" s="1"/>
      <c r="D93" s="1"/>
    </row>
    <row r="94" spans="1:4">
      <c r="A94" s="21"/>
      <c r="C94" s="1"/>
      <c r="D94" s="1"/>
    </row>
    <row r="95" spans="1:4">
      <c r="A95" s="21"/>
      <c r="C95" s="1"/>
      <c r="D95" s="1"/>
    </row>
    <row r="96" spans="1:4">
      <c r="A96" s="21"/>
      <c r="C96" s="1"/>
      <c r="D96" s="1"/>
    </row>
    <row r="97" spans="1:4">
      <c r="A97" s="21"/>
      <c r="C97" s="1"/>
      <c r="D97" s="1"/>
    </row>
    <row r="98" spans="1:4">
      <c r="A98" s="21"/>
      <c r="C98" s="1"/>
      <c r="D98" s="1"/>
    </row>
    <row r="99" spans="1:4">
      <c r="A99" s="21"/>
      <c r="C99" s="1"/>
      <c r="D99" s="1"/>
    </row>
    <row r="100" spans="1:4">
      <c r="A100" s="21"/>
      <c r="C100" s="1"/>
      <c r="D100" s="1"/>
    </row>
    <row r="101" spans="1:4">
      <c r="A101" s="21"/>
      <c r="C101" s="1"/>
      <c r="D101" s="1"/>
    </row>
    <row r="102" spans="1:4">
      <c r="A102" s="21"/>
      <c r="C102" s="1"/>
      <c r="D102" s="1"/>
    </row>
    <row r="103" spans="1:4">
      <c r="A103" s="21"/>
      <c r="C103" s="1"/>
      <c r="D103" s="1"/>
    </row>
    <row r="104" spans="1:4">
      <c r="A104" s="21"/>
      <c r="C104" s="1"/>
      <c r="D104" s="1"/>
    </row>
    <row r="105" spans="1:4">
      <c r="A105" s="21"/>
      <c r="C105" s="1"/>
      <c r="D105" s="1"/>
    </row>
    <row r="106" spans="1:4">
      <c r="A106" s="21"/>
      <c r="C106" s="1"/>
      <c r="D106" s="1"/>
    </row>
    <row r="107" spans="1:4">
      <c r="A107" s="21"/>
      <c r="C107" s="1"/>
      <c r="D107" s="1"/>
    </row>
    <row r="108" spans="1:4">
      <c r="A108" s="21"/>
      <c r="C108" s="1"/>
      <c r="D108" s="1"/>
    </row>
    <row r="109" spans="1:4">
      <c r="A109" s="21"/>
      <c r="C109" s="1"/>
      <c r="D109" s="1"/>
    </row>
    <row r="110" spans="1:4">
      <c r="A110" s="21"/>
      <c r="C110" s="1"/>
      <c r="D110" s="1"/>
    </row>
    <row r="111" spans="1:4">
      <c r="A111" s="21"/>
      <c r="C111" s="1"/>
      <c r="D111" s="1"/>
    </row>
    <row r="112" spans="1:4">
      <c r="A112" s="21"/>
      <c r="C112" s="1"/>
      <c r="D112" s="1"/>
    </row>
    <row r="113" spans="1:4">
      <c r="A113" s="21"/>
      <c r="C113" s="1"/>
      <c r="D113" s="1"/>
    </row>
    <row r="114" spans="1:4">
      <c r="A114" s="21"/>
      <c r="C114" s="1"/>
      <c r="D114" s="1"/>
    </row>
    <row r="115" spans="1:4">
      <c r="A115" s="21"/>
      <c r="C115" s="1"/>
      <c r="D115" s="1"/>
    </row>
    <row r="116" spans="1:4">
      <c r="A116" s="21"/>
      <c r="C116" s="1"/>
      <c r="D116" s="1"/>
    </row>
    <row r="117" spans="1:4">
      <c r="A117" s="21"/>
      <c r="C117" s="1"/>
      <c r="D117" s="1"/>
    </row>
    <row r="118" spans="1:4">
      <c r="A118" s="21"/>
      <c r="C118" s="1"/>
      <c r="D118" s="1"/>
    </row>
    <row r="119" spans="1:4">
      <c r="A119" s="21"/>
      <c r="C119" s="1"/>
      <c r="D119" s="1"/>
    </row>
    <row r="120" spans="1:4">
      <c r="A120" s="21"/>
      <c r="C120" s="1"/>
      <c r="D120" s="1"/>
    </row>
    <row r="121" spans="1:4">
      <c r="A121" s="21"/>
      <c r="C121" s="1"/>
      <c r="D121" s="1"/>
    </row>
    <row r="122" spans="1:4">
      <c r="A122" s="21"/>
      <c r="C122" s="1"/>
      <c r="D122" s="1"/>
    </row>
    <row r="123" spans="1:4">
      <c r="A123" s="21"/>
      <c r="C123" s="1"/>
      <c r="D123" s="1"/>
    </row>
    <row r="124" spans="1:4">
      <c r="A124" s="21"/>
      <c r="C124" s="1"/>
      <c r="D124" s="1"/>
    </row>
    <row r="125" spans="1:4">
      <c r="A125" s="21"/>
      <c r="C125" s="1"/>
      <c r="D125" s="1"/>
    </row>
    <row r="126" spans="1:4">
      <c r="A126" s="21"/>
      <c r="C126" s="1"/>
      <c r="D126" s="1"/>
    </row>
    <row r="127" spans="1:4">
      <c r="A127" s="21"/>
      <c r="C127" s="1"/>
      <c r="D127" s="1"/>
    </row>
    <row r="128" spans="1:4">
      <c r="A128" s="21"/>
      <c r="C128" s="1"/>
      <c r="D128" s="1"/>
    </row>
    <row r="129" spans="1:4">
      <c r="A129" s="21"/>
      <c r="C129" s="1"/>
      <c r="D129" s="1"/>
    </row>
    <row r="130" spans="1:4">
      <c r="A130" s="21"/>
      <c r="C130" s="1"/>
      <c r="D130" s="1"/>
    </row>
    <row r="131" spans="1:4">
      <c r="A131" s="21"/>
      <c r="C131" s="1"/>
      <c r="D131" s="1"/>
    </row>
    <row r="132" spans="1:4">
      <c r="A132" s="21"/>
      <c r="C132" s="1"/>
      <c r="D132" s="1"/>
    </row>
    <row r="133" spans="1:4">
      <c r="A133" s="21"/>
      <c r="C133" s="1"/>
      <c r="D133" s="1"/>
    </row>
    <row r="134" spans="1:4">
      <c r="A134" s="21"/>
      <c r="C134" s="1"/>
      <c r="D134" s="1"/>
    </row>
    <row r="135" spans="1:4">
      <c r="A135" s="21"/>
      <c r="C135" s="1"/>
      <c r="D135" s="1"/>
    </row>
    <row r="136" spans="1:4">
      <c r="A136" s="21"/>
      <c r="C136" s="1"/>
      <c r="D136" s="1"/>
    </row>
    <row r="137" spans="1:4">
      <c r="A137" s="21"/>
      <c r="C137" s="1"/>
      <c r="D137" s="1"/>
    </row>
    <row r="138" spans="1:4">
      <c r="A138" s="21"/>
      <c r="C138" s="1"/>
      <c r="D138" s="1"/>
    </row>
    <row r="139" spans="1:4">
      <c r="A139" s="21"/>
      <c r="C139" s="1"/>
      <c r="D139" s="1"/>
    </row>
    <row r="140" spans="1:4">
      <c r="A140" s="21"/>
      <c r="C140" s="1"/>
      <c r="D140" s="1"/>
    </row>
    <row r="141" spans="1:4">
      <c r="A141" s="21"/>
      <c r="C141" s="1"/>
      <c r="D141" s="1"/>
    </row>
    <row r="142" spans="1:4">
      <c r="A142" s="21"/>
      <c r="C142" s="1"/>
      <c r="D142" s="1"/>
    </row>
    <row r="143" spans="1:4">
      <c r="A143" s="21"/>
      <c r="C143" s="1"/>
      <c r="D143" s="1"/>
    </row>
    <row r="144" spans="1:4">
      <c r="A144" s="21"/>
      <c r="C144" s="1"/>
      <c r="D144" s="1"/>
    </row>
    <row r="145" spans="1:4">
      <c r="A145" s="21"/>
      <c r="C145" s="1"/>
      <c r="D145" s="1"/>
    </row>
    <row r="146" spans="1:4">
      <c r="A146" s="21"/>
      <c r="C146" s="1"/>
      <c r="D146" s="1"/>
    </row>
    <row r="147" spans="1:4">
      <c r="A147" s="21"/>
      <c r="C147" s="1"/>
      <c r="D147" s="1"/>
    </row>
    <row r="148" spans="1:4">
      <c r="A148" s="21"/>
      <c r="C148" s="1"/>
      <c r="D148" s="1"/>
    </row>
    <row r="149" spans="1:4">
      <c r="A149" s="21"/>
      <c r="C149" s="1"/>
      <c r="D149" s="1"/>
    </row>
    <row r="150" spans="1:4">
      <c r="A150" s="21"/>
      <c r="C150" s="1"/>
      <c r="D150" s="1"/>
    </row>
    <row r="151" spans="1:4">
      <c r="A151" s="21"/>
      <c r="C151" s="1"/>
      <c r="D151" s="1"/>
    </row>
    <row r="152" spans="1:4">
      <c r="A152" s="21"/>
      <c r="C152" s="1"/>
      <c r="D152" s="1"/>
    </row>
    <row r="153" spans="1:4">
      <c r="A153" s="21"/>
      <c r="C153" s="1"/>
      <c r="D153" s="1"/>
    </row>
    <row r="154" spans="1:4">
      <c r="A154" s="21"/>
      <c r="C154" s="1"/>
      <c r="D154" s="1"/>
    </row>
    <row r="155" spans="1:4">
      <c r="A155" s="21"/>
      <c r="C155" s="1"/>
      <c r="D155" s="1"/>
    </row>
    <row r="156" spans="1:4">
      <c r="A156" s="21"/>
      <c r="C156" s="1"/>
      <c r="D156" s="1"/>
    </row>
    <row r="157" spans="1:4">
      <c r="A157" s="21"/>
      <c r="C157" s="1"/>
      <c r="D157" s="1"/>
    </row>
    <row r="158" spans="1:4">
      <c r="A158" s="21"/>
      <c r="C158" s="1"/>
      <c r="D158" s="1"/>
    </row>
    <row r="159" spans="1:4">
      <c r="A159" s="21"/>
      <c r="C159" s="1"/>
      <c r="D159" s="1"/>
    </row>
    <row r="160" spans="1:4">
      <c r="A160" s="21"/>
      <c r="C160" s="1"/>
      <c r="D160" s="1"/>
    </row>
    <row r="161" spans="1:4">
      <c r="A161" s="21"/>
      <c r="C161" s="1"/>
      <c r="D161" s="1"/>
    </row>
    <row r="162" spans="1:4">
      <c r="A162" s="21"/>
      <c r="C162" s="1"/>
      <c r="D162" s="1"/>
    </row>
    <row r="163" spans="1:4">
      <c r="A163" s="21"/>
      <c r="C163" s="1"/>
      <c r="D163" s="1"/>
    </row>
    <row r="164" spans="1:4">
      <c r="A164" s="21"/>
      <c r="C164" s="1"/>
      <c r="D164" s="1"/>
    </row>
    <row r="165" spans="1:4">
      <c r="A165" s="21"/>
      <c r="C165" s="1"/>
      <c r="D165" s="1"/>
    </row>
    <row r="166" spans="1:4">
      <c r="A166" s="21"/>
      <c r="C166" s="1"/>
      <c r="D166" s="1"/>
    </row>
    <row r="167" spans="1:4">
      <c r="A167" s="21"/>
      <c r="C167" s="1"/>
      <c r="D167" s="1"/>
    </row>
    <row r="168" spans="1:4">
      <c r="A168" s="21"/>
      <c r="C168" s="1"/>
      <c r="D168" s="1"/>
    </row>
    <row r="169" spans="1:4">
      <c r="A169" s="21"/>
      <c r="C169" s="1"/>
      <c r="D169" s="1"/>
    </row>
    <row r="170" spans="1:4">
      <c r="A170" s="21"/>
      <c r="C170" s="1"/>
      <c r="D170" s="1"/>
    </row>
    <row r="171" spans="1:4">
      <c r="A171" s="21"/>
      <c r="C171" s="1"/>
      <c r="D171" s="1"/>
    </row>
    <row r="172" spans="1:4">
      <c r="A172" s="21"/>
      <c r="C172" s="1"/>
      <c r="D172" s="1"/>
    </row>
    <row r="173" spans="1:4">
      <c r="A173" s="21"/>
      <c r="C173" s="1"/>
      <c r="D173" s="1"/>
    </row>
    <row r="174" spans="1:4">
      <c r="A174" s="21"/>
      <c r="C174" s="1"/>
      <c r="D174" s="1"/>
    </row>
    <row r="175" spans="1:4">
      <c r="A175" s="21"/>
      <c r="C175" s="1"/>
      <c r="D175" s="1"/>
    </row>
    <row r="176" spans="1:4">
      <c r="A176" s="21"/>
      <c r="C176" s="1"/>
      <c r="D176" s="1"/>
    </row>
    <row r="177" spans="1:4">
      <c r="A177" s="21"/>
      <c r="C177" s="1"/>
      <c r="D177" s="1"/>
    </row>
    <row r="178" spans="1:4">
      <c r="A178" s="21"/>
      <c r="C178" s="1"/>
      <c r="D178" s="1"/>
    </row>
    <row r="179" spans="1:4">
      <c r="A179" s="21"/>
      <c r="C179" s="1"/>
      <c r="D179" s="1"/>
    </row>
    <row r="180" spans="1:4">
      <c r="A180" s="21"/>
      <c r="C180" s="1"/>
      <c r="D180" s="1"/>
    </row>
    <row r="181" spans="1:4">
      <c r="A181" s="21"/>
      <c r="C181" s="1"/>
      <c r="D181" s="1"/>
    </row>
    <row r="182" spans="1:4">
      <c r="A182" s="21"/>
      <c r="C182" s="1"/>
      <c r="D182" s="1"/>
    </row>
    <row r="183" spans="1:4">
      <c r="A183" s="21"/>
      <c r="C183" s="1"/>
      <c r="D183" s="1"/>
    </row>
    <row r="184" spans="1:4">
      <c r="A184" s="21"/>
      <c r="C184" s="1"/>
      <c r="D184" s="1"/>
    </row>
    <row r="185" spans="1:4">
      <c r="A185" s="21"/>
      <c r="C185" s="1"/>
      <c r="D185" s="1"/>
    </row>
    <row r="186" spans="1:4">
      <c r="A186" s="21"/>
      <c r="C186" s="1"/>
      <c r="D186" s="1"/>
    </row>
    <row r="187" spans="1:4">
      <c r="A187" s="21"/>
      <c r="C187" s="1"/>
      <c r="D187" s="1"/>
    </row>
    <row r="188" spans="1:4">
      <c r="A188" s="21"/>
      <c r="C188" s="1"/>
      <c r="D188" s="1"/>
    </row>
    <row r="189" spans="1:4">
      <c r="A189" s="21"/>
      <c r="C189" s="1"/>
      <c r="D189" s="1"/>
    </row>
    <row r="190" spans="1:4">
      <c r="A190" s="21"/>
      <c r="C190" s="1"/>
      <c r="D190" s="1"/>
    </row>
    <row r="191" spans="1:4">
      <c r="A191" s="21"/>
      <c r="C191" s="1"/>
      <c r="D191" s="1"/>
    </row>
    <row r="192" spans="1:4">
      <c r="A192" s="21"/>
      <c r="C192" s="1"/>
      <c r="D192" s="1"/>
    </row>
    <row r="193" spans="1:4">
      <c r="A193" s="21"/>
      <c r="C193" s="1"/>
      <c r="D193" s="1"/>
    </row>
    <row r="194" spans="1:4">
      <c r="A194" s="21"/>
      <c r="C194" s="1"/>
      <c r="D194" s="1"/>
    </row>
    <row r="195" spans="1:4">
      <c r="A195" s="21"/>
      <c r="C195" s="1"/>
      <c r="D195" s="1"/>
    </row>
    <row r="196" spans="1:4">
      <c r="A196" s="21"/>
      <c r="C196" s="1"/>
      <c r="D196" s="1"/>
    </row>
    <row r="197" spans="1:4">
      <c r="A197" s="21"/>
      <c r="C197" s="1"/>
      <c r="D197" s="1"/>
    </row>
    <row r="198" spans="1:4">
      <c r="A198" s="21"/>
      <c r="C198" s="1"/>
      <c r="D198" s="1"/>
    </row>
    <row r="199" spans="1:4">
      <c r="A199" s="21"/>
      <c r="C199" s="1"/>
      <c r="D199" s="1"/>
    </row>
    <row r="200" spans="1:4">
      <c r="A200" s="21"/>
      <c r="C200" s="1"/>
      <c r="D200" s="1"/>
    </row>
    <row r="201" spans="1:4">
      <c r="A201" s="21"/>
      <c r="C201" s="1"/>
      <c r="D201" s="1"/>
    </row>
    <row r="202" spans="1:4">
      <c r="A202" s="21"/>
      <c r="C202" s="1"/>
      <c r="D202" s="1"/>
    </row>
    <row r="203" spans="1:4">
      <c r="A203" s="21"/>
      <c r="C203" s="1"/>
      <c r="D203" s="1"/>
    </row>
    <row r="204" spans="1:4">
      <c r="A204" s="21"/>
      <c r="C204" s="1"/>
      <c r="D204" s="1"/>
    </row>
    <row r="205" spans="1:4">
      <c r="A205" s="21"/>
      <c r="C205" s="1"/>
      <c r="D205" s="1"/>
    </row>
    <row r="206" spans="1:4">
      <c r="A206" s="21"/>
      <c r="C206" s="1"/>
      <c r="D206" s="1"/>
    </row>
    <row r="207" spans="1:4">
      <c r="A207" s="21"/>
      <c r="C207" s="1"/>
      <c r="D207" s="1"/>
    </row>
    <row r="208" spans="1:4">
      <c r="A208" s="21"/>
      <c r="C208" s="1"/>
      <c r="D208" s="1"/>
    </row>
    <row r="209" spans="1:4">
      <c r="A209" s="21"/>
      <c r="C209" s="1"/>
      <c r="D209" s="1"/>
    </row>
    <row r="210" spans="1:4">
      <c r="A210" s="21"/>
      <c r="C210" s="1"/>
      <c r="D210" s="1"/>
    </row>
    <row r="211" spans="1:4">
      <c r="A211" s="21"/>
      <c r="C211" s="1"/>
      <c r="D211" s="1"/>
    </row>
    <row r="212" spans="1:4">
      <c r="A212" s="21"/>
      <c r="C212" s="1"/>
      <c r="D212" s="1"/>
    </row>
    <row r="213" spans="1:4">
      <c r="A213" s="21"/>
      <c r="C213" s="1"/>
      <c r="D213" s="1"/>
    </row>
    <row r="214" spans="1:4">
      <c r="A214" s="21"/>
      <c r="C214" s="1"/>
      <c r="D214" s="1"/>
    </row>
    <row r="215" spans="1:4">
      <c r="A215" s="21"/>
      <c r="C215" s="1"/>
      <c r="D215" s="1"/>
    </row>
    <row r="216" spans="1:4">
      <c r="A216" s="21"/>
      <c r="C216" s="1"/>
      <c r="D216" s="1"/>
    </row>
    <row r="217" spans="1:4">
      <c r="A217" s="21"/>
      <c r="C217" s="1"/>
      <c r="D217" s="1"/>
    </row>
    <row r="218" spans="1:4">
      <c r="A218" s="21"/>
      <c r="C218" s="1"/>
      <c r="D218" s="1"/>
    </row>
    <row r="219" spans="1:4">
      <c r="A219" s="21"/>
      <c r="C219" s="1"/>
      <c r="D219" s="1"/>
    </row>
    <row r="220" spans="1:4">
      <c r="A220" s="21"/>
      <c r="C220" s="1"/>
      <c r="D220" s="1"/>
    </row>
    <row r="221" spans="1:4">
      <c r="A221" s="21"/>
      <c r="C221" s="1"/>
      <c r="D221" s="1"/>
    </row>
    <row r="222" spans="1:4">
      <c r="A222" s="21"/>
      <c r="C222" s="1"/>
      <c r="D222" s="1"/>
    </row>
    <row r="223" spans="1:4">
      <c r="A223" s="21"/>
      <c r="C223" s="1"/>
      <c r="D223" s="1"/>
    </row>
    <row r="224" spans="1:4">
      <c r="A224" s="21"/>
      <c r="C224" s="1"/>
      <c r="D224" s="1"/>
    </row>
    <row r="225" spans="1:4">
      <c r="A225" s="21"/>
      <c r="C225" s="1"/>
      <c r="D225" s="1"/>
    </row>
    <row r="226" spans="1:4">
      <c r="A226" s="21"/>
      <c r="C226" s="1"/>
      <c r="D226" s="1"/>
    </row>
    <row r="227" spans="1:4">
      <c r="A227" s="21"/>
      <c r="C227" s="1"/>
      <c r="D227" s="1"/>
    </row>
    <row r="228" spans="1:4">
      <c r="A228" s="21"/>
      <c r="C228" s="1"/>
      <c r="D228" s="1"/>
    </row>
    <row r="229" spans="1:4">
      <c r="A229" s="21"/>
      <c r="C229" s="1"/>
      <c r="D229" s="1"/>
    </row>
    <row r="230" spans="1:4">
      <c r="A230" s="21"/>
      <c r="C230" s="1"/>
      <c r="D230" s="1"/>
    </row>
    <row r="231" spans="1:4">
      <c r="A231" s="21"/>
      <c r="C231" s="1"/>
      <c r="D231" s="1"/>
    </row>
    <row r="232" spans="1:4">
      <c r="A232" s="21"/>
      <c r="C232" s="1"/>
      <c r="D232" s="1"/>
    </row>
    <row r="233" spans="1:4">
      <c r="A233" s="21"/>
      <c r="C233" s="1"/>
      <c r="D233" s="1"/>
    </row>
    <row r="234" spans="1:4">
      <c r="A234" s="21"/>
      <c r="C234" s="1"/>
      <c r="D234" s="1"/>
    </row>
    <row r="235" spans="1:4">
      <c r="A235" s="21"/>
      <c r="C235" s="1"/>
      <c r="D235" s="1"/>
    </row>
    <row r="236" spans="1:4">
      <c r="A236" s="21"/>
      <c r="C236" s="1"/>
      <c r="D236" s="1"/>
    </row>
    <row r="237" spans="1:4">
      <c r="A237" s="21"/>
      <c r="C237" s="1"/>
      <c r="D237" s="1"/>
    </row>
    <row r="238" spans="1:4">
      <c r="A238" s="21"/>
      <c r="C238" s="1"/>
      <c r="D238" s="1"/>
    </row>
    <row r="239" spans="1:4">
      <c r="A239" s="21"/>
      <c r="C239" s="1"/>
      <c r="D239" s="1"/>
    </row>
    <row r="240" spans="1:4">
      <c r="A240" s="21"/>
      <c r="C240" s="1"/>
      <c r="D240" s="1"/>
    </row>
    <row r="241" spans="1:4">
      <c r="A241" s="21"/>
      <c r="C241" s="1"/>
      <c r="D241" s="1"/>
    </row>
    <row r="242" spans="1:4">
      <c r="A242" s="21"/>
      <c r="C242" s="1"/>
      <c r="D242" s="1"/>
    </row>
    <row r="243" spans="1:4">
      <c r="A243" s="21"/>
      <c r="C243" s="1"/>
      <c r="D243" s="1"/>
    </row>
    <row r="244" spans="1:4">
      <c r="A244" s="21"/>
      <c r="C244" s="1"/>
      <c r="D244" s="1"/>
    </row>
    <row r="245" spans="1:4">
      <c r="A245" s="21"/>
      <c r="C245" s="1"/>
      <c r="D245" s="1"/>
    </row>
    <row r="246" spans="1:4">
      <c r="A246" s="21"/>
      <c r="C246" s="1"/>
      <c r="D246" s="1"/>
    </row>
    <row r="247" spans="1:4">
      <c r="A247" s="21"/>
      <c r="C247" s="1"/>
      <c r="D247" s="1"/>
    </row>
    <row r="248" spans="1:4">
      <c r="A248" s="21"/>
      <c r="C248" s="1"/>
      <c r="D248" s="1"/>
    </row>
    <row r="249" spans="1:4">
      <c r="A249" s="21"/>
      <c r="C249" s="1"/>
      <c r="D249" s="1"/>
    </row>
    <row r="250" spans="1:4">
      <c r="A250" s="21"/>
      <c r="C250" s="1"/>
      <c r="D250" s="1"/>
    </row>
    <row r="251" spans="1:4">
      <c r="A251" s="21"/>
      <c r="C251" s="1"/>
      <c r="D251" s="1"/>
    </row>
    <row r="252" spans="1:4">
      <c r="A252" s="21"/>
      <c r="C252" s="1"/>
      <c r="D252" s="1"/>
    </row>
    <row r="253" spans="1:4">
      <c r="A253" s="21"/>
      <c r="C253" s="1"/>
      <c r="D253" s="1"/>
    </row>
    <row r="254" spans="1:4">
      <c r="A254" s="21"/>
      <c r="C254" s="1"/>
      <c r="D254" s="1"/>
    </row>
    <row r="255" spans="1:4">
      <c r="A255" s="21"/>
      <c r="C255" s="1"/>
      <c r="D255" s="1"/>
    </row>
    <row r="256" spans="1:4">
      <c r="A256" s="21"/>
      <c r="C256" s="1"/>
      <c r="D256" s="1"/>
    </row>
    <row r="257" spans="1:4">
      <c r="A257" s="21"/>
      <c r="C257" s="1"/>
      <c r="D257" s="1"/>
    </row>
    <row r="258" spans="1:4">
      <c r="A258" s="21"/>
      <c r="C258" s="1"/>
      <c r="D258" s="1"/>
    </row>
    <row r="259" spans="1:4">
      <c r="A259" s="21"/>
      <c r="C259" s="1"/>
      <c r="D259" s="1"/>
    </row>
    <row r="260" spans="1:4">
      <c r="A260" s="21"/>
      <c r="C260" s="1"/>
      <c r="D260" s="1"/>
    </row>
    <row r="261" spans="1:4">
      <c r="A261" s="21"/>
      <c r="C261" s="1"/>
      <c r="D261" s="1"/>
    </row>
    <row r="262" spans="1:4">
      <c r="A262" s="21"/>
      <c r="C262" s="1"/>
      <c r="D262" s="1"/>
    </row>
    <row r="263" spans="1:4">
      <c r="A263" s="21"/>
      <c r="C263" s="1"/>
      <c r="D263" s="1"/>
    </row>
    <row r="264" spans="1:4">
      <c r="A264" s="21"/>
      <c r="C264" s="1"/>
      <c r="D264" s="1"/>
    </row>
    <row r="265" spans="1:4">
      <c r="A265" s="21"/>
      <c r="C265" s="1"/>
      <c r="D265" s="1"/>
    </row>
    <row r="266" spans="1:4">
      <c r="A266" s="21"/>
      <c r="C266" s="1"/>
      <c r="D266" s="1"/>
    </row>
    <row r="267" spans="1:4">
      <c r="A267" s="21"/>
      <c r="C267" s="1"/>
      <c r="D267" s="1"/>
    </row>
    <row r="268" spans="1:4">
      <c r="A268" s="21"/>
      <c r="C268" s="1"/>
      <c r="D268" s="1"/>
    </row>
    <row r="269" spans="1:4">
      <c r="A269" s="21"/>
      <c r="C269" s="1"/>
      <c r="D269" s="1"/>
    </row>
    <row r="270" spans="1:4">
      <c r="A270" s="21"/>
      <c r="C270" s="1"/>
      <c r="D270" s="1"/>
    </row>
    <row r="271" spans="1:4">
      <c r="A271" s="21"/>
      <c r="C271" s="1"/>
      <c r="D271" s="1"/>
    </row>
    <row r="272" spans="1:4">
      <c r="A272" s="21"/>
      <c r="C272" s="1"/>
      <c r="D272" s="1"/>
    </row>
    <row r="273" spans="1:4">
      <c r="A273" s="21"/>
      <c r="C273" s="1"/>
      <c r="D273" s="1"/>
    </row>
    <row r="274" spans="1:4">
      <c r="A274" s="21"/>
      <c r="C274" s="1"/>
      <c r="D274" s="1"/>
    </row>
    <row r="275" spans="1:4">
      <c r="A275" s="21"/>
      <c r="C275" s="1"/>
      <c r="D275" s="1"/>
    </row>
    <row r="276" spans="1:4">
      <c r="A276" s="21"/>
      <c r="C276" s="1"/>
      <c r="D276" s="1"/>
    </row>
    <row r="277" spans="1:4">
      <c r="A277" s="21"/>
      <c r="C277" s="1"/>
      <c r="D277" s="1"/>
    </row>
    <row r="278" spans="1:4">
      <c r="A278" s="21"/>
      <c r="C278" s="1"/>
      <c r="D278" s="1"/>
    </row>
    <row r="279" spans="1:4">
      <c r="A279" s="21"/>
      <c r="C279" s="1"/>
      <c r="D279" s="1"/>
    </row>
    <row r="280" spans="1:4">
      <c r="A280" s="21"/>
      <c r="C280" s="1"/>
      <c r="D280" s="1"/>
    </row>
    <row r="281" spans="1:4">
      <c r="A281" s="21"/>
      <c r="C281" s="1"/>
      <c r="D281" s="1"/>
    </row>
    <row r="282" spans="1:4">
      <c r="A282" s="21"/>
      <c r="C282" s="1"/>
      <c r="D282" s="1"/>
    </row>
    <row r="283" spans="1:4">
      <c r="A283" s="21"/>
      <c r="C283" s="1"/>
      <c r="D283" s="1"/>
    </row>
    <row r="284" spans="1:4">
      <c r="A284" s="21"/>
      <c r="C284" s="1"/>
      <c r="D284" s="1"/>
    </row>
    <row r="285" spans="1:4">
      <c r="A285" s="21"/>
      <c r="C285" s="1"/>
      <c r="D285" s="1"/>
    </row>
    <row r="286" spans="1:4">
      <c r="A286" s="21"/>
      <c r="C286" s="1"/>
      <c r="D286" s="1"/>
    </row>
    <row r="287" spans="1:4">
      <c r="A287" s="21"/>
      <c r="C287" s="1"/>
      <c r="D287" s="1"/>
    </row>
    <row r="288" spans="1:4">
      <c r="A288" s="21"/>
      <c r="C288" s="1"/>
      <c r="D288" s="1"/>
    </row>
    <row r="289" spans="1:4">
      <c r="A289" s="21"/>
      <c r="C289" s="1"/>
      <c r="D289" s="1"/>
    </row>
    <row r="290" spans="1:4">
      <c r="A290" s="21"/>
      <c r="C290" s="1"/>
      <c r="D290" s="1"/>
    </row>
    <row r="291" spans="1:4">
      <c r="A291" s="21"/>
      <c r="C291" s="1"/>
      <c r="D291" s="1"/>
    </row>
    <row r="292" spans="1:4">
      <c r="A292" s="21"/>
      <c r="C292" s="1"/>
      <c r="D292" s="1"/>
    </row>
    <row r="293" spans="1:4">
      <c r="A293" s="21"/>
      <c r="C293" s="1"/>
      <c r="D293" s="1"/>
    </row>
    <row r="294" spans="1:4">
      <c r="A294" s="21"/>
      <c r="C294" s="1"/>
      <c r="D294" s="1"/>
    </row>
    <row r="295" spans="1:4">
      <c r="A295" s="21"/>
      <c r="C295" s="1"/>
      <c r="D295" s="1"/>
    </row>
    <row r="296" spans="1:4">
      <c r="A296" s="21"/>
      <c r="C296" s="1"/>
      <c r="D296" s="1"/>
    </row>
    <row r="297" spans="1:4">
      <c r="A297" s="21"/>
      <c r="C297" s="1"/>
      <c r="D297" s="1"/>
    </row>
    <row r="298" spans="1:4">
      <c r="A298" s="21"/>
      <c r="C298" s="1"/>
      <c r="D298" s="1"/>
    </row>
    <row r="299" spans="1:4">
      <c r="A299" s="21"/>
      <c r="C299" s="1"/>
      <c r="D299" s="1"/>
    </row>
    <row r="300" spans="1:4">
      <c r="A300" s="21"/>
      <c r="C300" s="1"/>
      <c r="D300" s="1"/>
    </row>
    <row r="301" spans="1:4">
      <c r="A301" s="21"/>
      <c r="C301" s="1"/>
      <c r="D301" s="1"/>
    </row>
    <row r="302" spans="1:4">
      <c r="A302" s="21"/>
      <c r="C302" s="1"/>
      <c r="D302" s="1"/>
    </row>
    <row r="303" spans="1:4">
      <c r="A303" s="21"/>
      <c r="C303" s="1"/>
      <c r="D303" s="1"/>
    </row>
    <row r="304" spans="1:4">
      <c r="A304" s="21"/>
      <c r="C304" s="1"/>
      <c r="D304" s="1"/>
    </row>
    <row r="305" spans="1:4">
      <c r="A305" s="21"/>
      <c r="C305" s="1"/>
      <c r="D305" s="1"/>
    </row>
    <row r="306" spans="1:4">
      <c r="A306" s="21"/>
      <c r="C306" s="1"/>
      <c r="D306" s="1"/>
    </row>
    <row r="307" spans="1:4">
      <c r="A307" s="21"/>
      <c r="C307" s="1"/>
      <c r="D307" s="1"/>
    </row>
    <row r="308" spans="1:4">
      <c r="A308" s="21"/>
      <c r="C308" s="1"/>
      <c r="D308" s="1"/>
    </row>
    <row r="309" spans="1:4">
      <c r="A309" s="21"/>
      <c r="C309" s="1"/>
      <c r="D309" s="1"/>
    </row>
    <row r="310" spans="1:4">
      <c r="A310" s="21"/>
      <c r="C310" s="1"/>
      <c r="D310" s="1"/>
    </row>
    <row r="311" spans="1:4">
      <c r="A311" s="21"/>
      <c r="C311" s="1"/>
      <c r="D311" s="1"/>
    </row>
    <row r="312" spans="1:4">
      <c r="A312" s="21"/>
      <c r="C312" s="1"/>
      <c r="D312" s="1"/>
    </row>
    <row r="313" spans="1:4">
      <c r="A313" s="21"/>
      <c r="C313" s="1"/>
      <c r="D313" s="1"/>
    </row>
    <row r="314" spans="1:4">
      <c r="A314" s="21"/>
      <c r="C314" s="1"/>
      <c r="D314" s="1"/>
    </row>
    <row r="315" spans="1:4">
      <c r="A315" s="21"/>
      <c r="C315" s="1"/>
      <c r="D315" s="1"/>
    </row>
    <row r="316" spans="1:4">
      <c r="A316" s="21"/>
      <c r="C316" s="1"/>
      <c r="D316" s="1"/>
    </row>
    <row r="317" spans="1:4">
      <c r="A317" s="21"/>
      <c r="C317" s="1"/>
      <c r="D317" s="1"/>
    </row>
    <row r="318" spans="1:4">
      <c r="A318" s="21"/>
      <c r="C318" s="1"/>
      <c r="D318" s="1"/>
    </row>
    <row r="319" spans="1:4">
      <c r="A319" s="21"/>
      <c r="C319" s="1"/>
      <c r="D319" s="1"/>
    </row>
    <row r="320" spans="1:4">
      <c r="A320" s="21"/>
      <c r="C320" s="1"/>
      <c r="D320" s="1"/>
    </row>
    <row r="321" spans="1:4">
      <c r="A321" s="21"/>
      <c r="C321" s="1"/>
      <c r="D321" s="1"/>
    </row>
    <row r="322" spans="1:4">
      <c r="A322" s="21"/>
      <c r="C322" s="1"/>
      <c r="D322" s="1"/>
    </row>
    <row r="323" spans="1:4">
      <c r="A323" s="21"/>
      <c r="C323" s="1"/>
      <c r="D323" s="1"/>
    </row>
    <row r="324" spans="1:4">
      <c r="A324" s="21"/>
      <c r="C324" s="1"/>
      <c r="D324" s="1"/>
    </row>
    <row r="325" spans="1:4">
      <c r="A325" s="21"/>
      <c r="C325" s="1"/>
      <c r="D325" s="1"/>
    </row>
    <row r="326" spans="1:4">
      <c r="A326" s="21"/>
      <c r="C326" s="1"/>
      <c r="D326" s="1"/>
    </row>
    <row r="327" spans="1:4">
      <c r="A327" s="21"/>
      <c r="C327" s="1"/>
      <c r="D327" s="1"/>
    </row>
    <row r="328" spans="1:4">
      <c r="A328" s="21"/>
      <c r="C328" s="1"/>
      <c r="D328" s="1"/>
    </row>
    <row r="329" spans="1:4">
      <c r="A329" s="21"/>
      <c r="C329" s="1"/>
      <c r="D329" s="1"/>
    </row>
    <row r="330" spans="1:4">
      <c r="A330" s="21"/>
      <c r="C330" s="1"/>
      <c r="D330" s="1"/>
    </row>
    <row r="331" spans="1:4">
      <c r="A331" s="21"/>
      <c r="C331" s="1"/>
      <c r="D331" s="1"/>
    </row>
    <row r="332" spans="1:4">
      <c r="A332" s="21"/>
      <c r="C332" s="1"/>
      <c r="D332" s="1"/>
    </row>
    <row r="333" spans="1:4">
      <c r="A333" s="21"/>
      <c r="C333" s="1"/>
      <c r="D333" s="1"/>
    </row>
    <row r="334" spans="1:4">
      <c r="A334" s="21"/>
      <c r="C334" s="1"/>
      <c r="D334" s="1"/>
    </row>
    <row r="335" spans="1:4">
      <c r="A335" s="21"/>
      <c r="C335" s="1"/>
      <c r="D335" s="1"/>
    </row>
    <row r="336" spans="1:4">
      <c r="A336" s="21"/>
      <c r="C336" s="1"/>
      <c r="D336" s="1"/>
    </row>
    <row r="337" spans="1:4">
      <c r="A337" s="21"/>
      <c r="C337" s="1"/>
      <c r="D337" s="1"/>
    </row>
    <row r="338" spans="1:4">
      <c r="A338" s="21"/>
      <c r="C338" s="1"/>
      <c r="D338" s="1"/>
    </row>
    <row r="339" spans="1:4">
      <c r="A339" s="21"/>
      <c r="C339" s="1"/>
      <c r="D339" s="1"/>
    </row>
    <row r="340" spans="1:4">
      <c r="A340" s="21"/>
      <c r="C340" s="1"/>
      <c r="D340" s="1"/>
    </row>
    <row r="341" spans="1:4">
      <c r="A341" s="21"/>
      <c r="C341" s="1"/>
      <c r="D341" s="1"/>
    </row>
    <row r="342" spans="1:4">
      <c r="A342" s="21"/>
      <c r="C342" s="1"/>
      <c r="D342" s="1"/>
    </row>
    <row r="343" spans="1:4">
      <c r="A343" s="21"/>
      <c r="C343" s="1"/>
      <c r="D343" s="1"/>
    </row>
    <row r="344" spans="1:4">
      <c r="A344" s="21"/>
      <c r="C344" s="1"/>
      <c r="D344" s="1"/>
    </row>
    <row r="345" spans="1:4">
      <c r="A345" s="21"/>
      <c r="C345" s="1"/>
      <c r="D345" s="1"/>
    </row>
    <row r="346" spans="1:4">
      <c r="A346" s="21"/>
      <c r="C346" s="1"/>
      <c r="D346" s="1"/>
    </row>
    <row r="347" spans="1:4">
      <c r="A347" s="21"/>
      <c r="C347" s="1"/>
      <c r="D347" s="1"/>
    </row>
    <row r="348" spans="1:4">
      <c r="A348" s="21"/>
      <c r="C348" s="1"/>
      <c r="D348" s="1"/>
    </row>
    <row r="349" spans="1:4">
      <c r="A349" s="21"/>
      <c r="C349" s="1"/>
      <c r="D349" s="1"/>
    </row>
    <row r="350" spans="1:4">
      <c r="A350" s="21"/>
      <c r="C350" s="1"/>
      <c r="D350" s="1"/>
    </row>
    <row r="351" spans="1:4">
      <c r="A351" s="21"/>
      <c r="C351" s="1"/>
      <c r="D351" s="1"/>
    </row>
    <row r="352" spans="1:4">
      <c r="A352" s="21"/>
      <c r="C352" s="1"/>
      <c r="D352" s="1"/>
    </row>
    <row r="353" spans="1:4">
      <c r="A353" s="21"/>
      <c r="C353" s="1"/>
      <c r="D353" s="1"/>
    </row>
    <row r="354" spans="1:4">
      <c r="A354" s="21"/>
      <c r="C354" s="1"/>
      <c r="D354" s="1"/>
    </row>
    <row r="355" spans="1:4">
      <c r="A355" s="21"/>
      <c r="C355" s="1"/>
      <c r="D355" s="1"/>
    </row>
    <row r="356" spans="1:4">
      <c r="A356" s="21"/>
      <c r="C356" s="1"/>
      <c r="D356" s="1"/>
    </row>
    <row r="357" spans="1:4">
      <c r="A357" s="21"/>
      <c r="C357" s="1"/>
      <c r="D357" s="1"/>
    </row>
    <row r="358" spans="1:4">
      <c r="A358" s="21"/>
      <c r="C358" s="1"/>
      <c r="D358" s="1"/>
    </row>
    <row r="359" spans="1:4">
      <c r="A359" s="21"/>
      <c r="C359" s="1"/>
      <c r="D359" s="1"/>
    </row>
    <row r="360" spans="1:4">
      <c r="A360" s="21"/>
      <c r="C360" s="1"/>
      <c r="D360" s="1"/>
    </row>
    <row r="361" spans="1:4">
      <c r="A361" s="21"/>
      <c r="C361" s="1"/>
      <c r="D361" s="1"/>
    </row>
    <row r="362" spans="1:4">
      <c r="A362" s="21"/>
      <c r="C362" s="1"/>
      <c r="D362" s="1"/>
    </row>
    <row r="363" spans="1:4">
      <c r="A363" s="21"/>
      <c r="C363" s="1"/>
      <c r="D363" s="1"/>
    </row>
    <row r="364" spans="1:4">
      <c r="A364" s="21"/>
      <c r="C364" s="1"/>
      <c r="D364" s="1"/>
    </row>
    <row r="365" spans="1:4">
      <c r="A365" s="21"/>
      <c r="C365" s="1"/>
      <c r="D365" s="1"/>
    </row>
    <row r="366" spans="1:4">
      <c r="A366" s="21"/>
      <c r="C366" s="1"/>
      <c r="D366" s="1"/>
    </row>
    <row r="367" spans="1:4">
      <c r="A367" s="21"/>
      <c r="C367" s="1"/>
      <c r="D367" s="1"/>
    </row>
    <row r="368" spans="1:4">
      <c r="A368" s="21"/>
      <c r="C368" s="1"/>
      <c r="D368" s="1"/>
    </row>
    <row r="369" spans="1:4">
      <c r="A369" s="21"/>
      <c r="C369" s="1"/>
      <c r="D369" s="1"/>
    </row>
    <row r="370" spans="1:4">
      <c r="A370" s="21"/>
      <c r="C370" s="1"/>
      <c r="D370" s="1"/>
    </row>
    <row r="371" spans="1:4">
      <c r="A371" s="21"/>
      <c r="C371" s="1"/>
      <c r="D371" s="1"/>
    </row>
    <row r="372" spans="1:4">
      <c r="A372" s="21"/>
      <c r="C372" s="1"/>
      <c r="D372" s="1"/>
    </row>
    <row r="373" spans="1:4">
      <c r="A373" s="21"/>
      <c r="C373" s="1"/>
      <c r="D373" s="1"/>
    </row>
    <row r="374" spans="1:4">
      <c r="A374" s="21"/>
      <c r="C374" s="1"/>
      <c r="D374" s="1"/>
    </row>
    <row r="375" spans="1:4">
      <c r="A375" s="21"/>
      <c r="C375" s="1"/>
      <c r="D375" s="1"/>
    </row>
    <row r="376" spans="1:4">
      <c r="A376" s="21"/>
      <c r="C376" s="1"/>
      <c r="D376" s="1"/>
    </row>
    <row r="377" spans="1:4">
      <c r="A377" s="21"/>
      <c r="C377" s="1"/>
      <c r="D377" s="1"/>
    </row>
    <row r="378" spans="1:4">
      <c r="A378" s="21"/>
      <c r="C378" s="1"/>
      <c r="D378" s="1"/>
    </row>
    <row r="379" spans="1:4">
      <c r="A379" s="21"/>
      <c r="C379" s="1"/>
      <c r="D379" s="1"/>
    </row>
    <row r="380" spans="1:4">
      <c r="A380" s="21"/>
      <c r="C380" s="1"/>
      <c r="D380" s="1"/>
    </row>
    <row r="381" spans="1:4">
      <c r="A381" s="21"/>
      <c r="C381" s="1"/>
      <c r="D381" s="1"/>
    </row>
    <row r="382" spans="1:4">
      <c r="A382" s="21"/>
      <c r="C382" s="1"/>
      <c r="D382" s="1"/>
    </row>
    <row r="383" spans="1:4">
      <c r="A383" s="21"/>
      <c r="C383" s="1"/>
      <c r="D383" s="1"/>
    </row>
    <row r="384" spans="1:4">
      <c r="A384" s="21"/>
      <c r="C384" s="1"/>
      <c r="D384" s="1"/>
    </row>
    <row r="385" spans="1:4">
      <c r="A385" s="21"/>
      <c r="C385" s="1"/>
      <c r="D385" s="1"/>
    </row>
    <row r="386" spans="1:4">
      <c r="A386" s="21"/>
      <c r="C386" s="1"/>
      <c r="D386" s="1"/>
    </row>
    <row r="387" spans="1:4">
      <c r="A387" s="21"/>
      <c r="C387" s="1"/>
      <c r="D387" s="1"/>
    </row>
    <row r="388" spans="1:4">
      <c r="A388" s="21"/>
      <c r="C388" s="1"/>
      <c r="D388" s="1"/>
    </row>
    <row r="389" spans="1:4">
      <c r="A389" s="21"/>
      <c r="C389" s="1"/>
      <c r="D389" s="1"/>
    </row>
    <row r="390" spans="1:4">
      <c r="A390" s="21"/>
      <c r="C390" s="1"/>
      <c r="D390" s="1"/>
    </row>
    <row r="391" spans="1:4">
      <c r="A391" s="21"/>
      <c r="C391" s="1"/>
      <c r="D391" s="1"/>
    </row>
    <row r="392" spans="1:4">
      <c r="A392" s="21"/>
      <c r="C392" s="1"/>
      <c r="D392" s="1"/>
    </row>
    <row r="393" spans="1:4">
      <c r="A393" s="21"/>
      <c r="C393" s="1"/>
      <c r="D393" s="1"/>
    </row>
    <row r="394" spans="1:4">
      <c r="A394" s="21"/>
      <c r="C394" s="1"/>
      <c r="D394" s="1"/>
    </row>
    <row r="395" spans="1:4">
      <c r="A395" s="21"/>
      <c r="C395" s="1"/>
      <c r="D395" s="1"/>
    </row>
    <row r="396" spans="1:4">
      <c r="A396" s="21"/>
      <c r="C396" s="1"/>
      <c r="D396" s="1"/>
    </row>
    <row r="397" spans="1:4">
      <c r="A397" s="21"/>
      <c r="C397" s="1"/>
      <c r="D397" s="1"/>
    </row>
    <row r="398" spans="1:4">
      <c r="A398" s="21"/>
      <c r="C398" s="1"/>
      <c r="D398" s="1"/>
    </row>
    <row r="399" spans="1:4">
      <c r="A399" s="21"/>
      <c r="C399" s="1"/>
      <c r="D399" s="1"/>
    </row>
    <row r="400" spans="1:4">
      <c r="A400" s="21"/>
      <c r="C400" s="1"/>
      <c r="D400" s="1"/>
    </row>
    <row r="401" spans="1:4">
      <c r="A401" s="21"/>
      <c r="C401" s="1"/>
      <c r="D401" s="1"/>
    </row>
    <row r="402" spans="1:4">
      <c r="A402" s="21"/>
      <c r="C402" s="1"/>
      <c r="D402" s="1"/>
    </row>
    <row r="403" spans="1:4">
      <c r="A403" s="21"/>
      <c r="C403" s="1"/>
      <c r="D403" s="1"/>
    </row>
    <row r="404" spans="1:4">
      <c r="A404" s="21"/>
      <c r="C404" s="1"/>
      <c r="D404" s="1"/>
    </row>
    <row r="405" spans="1:4">
      <c r="A405" s="21"/>
      <c r="C405" s="1"/>
      <c r="D405" s="1"/>
    </row>
    <row r="406" spans="1:4">
      <c r="A406" s="21"/>
      <c r="C406" s="1"/>
      <c r="D406" s="1"/>
    </row>
    <row r="407" spans="1:4">
      <c r="A407" s="21"/>
      <c r="C407" s="1"/>
      <c r="D407" s="1"/>
    </row>
    <row r="408" spans="1:4">
      <c r="A408" s="21"/>
      <c r="C408" s="1"/>
      <c r="D408" s="1"/>
    </row>
    <row r="409" spans="1:4">
      <c r="A409" s="21"/>
      <c r="C409" s="1"/>
      <c r="D409" s="1"/>
    </row>
    <row r="410" spans="1:4">
      <c r="A410" s="21"/>
      <c r="C410" s="1"/>
      <c r="D410" s="1"/>
    </row>
    <row r="411" spans="1:4">
      <c r="A411" s="21"/>
      <c r="C411" s="1"/>
      <c r="D411" s="1"/>
    </row>
    <row r="412" spans="1:4">
      <c r="A412" s="21"/>
      <c r="C412" s="1"/>
      <c r="D412" s="1"/>
    </row>
    <row r="413" spans="1:4">
      <c r="A413" s="21"/>
      <c r="C413" s="1"/>
      <c r="D413" s="1"/>
    </row>
    <row r="414" spans="1:4">
      <c r="A414" s="21"/>
      <c r="C414" s="1"/>
      <c r="D414" s="1"/>
    </row>
    <row r="415" spans="1:4">
      <c r="A415" s="21"/>
      <c r="C415" s="1"/>
      <c r="D415" s="1"/>
    </row>
    <row r="416" spans="1:4">
      <c r="A416" s="21"/>
      <c r="C416" s="1"/>
      <c r="D416" s="1"/>
    </row>
    <row r="417" spans="1:4">
      <c r="A417" s="21"/>
      <c r="C417" s="1"/>
      <c r="D417" s="1"/>
    </row>
    <row r="418" spans="1:4">
      <c r="A418" s="21"/>
      <c r="C418" s="1"/>
      <c r="D418" s="1"/>
    </row>
    <row r="419" spans="1:4">
      <c r="A419" s="21"/>
      <c r="C419" s="1"/>
      <c r="D419" s="1"/>
    </row>
    <row r="420" spans="1:4">
      <c r="A420" s="21"/>
      <c r="C420" s="1"/>
      <c r="D420" s="1"/>
    </row>
    <row r="421" spans="1:4">
      <c r="A421" s="21"/>
      <c r="C421" s="1"/>
      <c r="D421" s="1"/>
    </row>
    <row r="422" spans="1:4">
      <c r="A422" s="21"/>
      <c r="C422" s="1"/>
      <c r="D422" s="1"/>
    </row>
    <row r="423" spans="1:4">
      <c r="A423" s="21"/>
      <c r="C423" s="1"/>
      <c r="D423" s="1"/>
    </row>
    <row r="424" spans="1:4">
      <c r="A424" s="21"/>
      <c r="C424" s="1"/>
      <c r="D424" s="1"/>
    </row>
    <row r="425" spans="1:4">
      <c r="A425" s="21"/>
      <c r="C425" s="1"/>
      <c r="D425" s="1"/>
    </row>
    <row r="426" spans="1:4">
      <c r="A426" s="21"/>
      <c r="C426" s="1"/>
      <c r="D426" s="1"/>
    </row>
    <row r="427" spans="1:4">
      <c r="A427" s="21"/>
      <c r="C427" s="1"/>
      <c r="D427" s="1"/>
    </row>
    <row r="428" spans="1:4">
      <c r="A428" s="21"/>
      <c r="C428" s="1"/>
      <c r="D428" s="1"/>
    </row>
    <row r="429" spans="1:4">
      <c r="A429" s="21"/>
      <c r="C429" s="1"/>
      <c r="D429" s="1"/>
    </row>
    <row r="430" spans="1:4">
      <c r="A430" s="21"/>
      <c r="C430" s="1"/>
      <c r="D430" s="1"/>
    </row>
    <row r="431" spans="1:4">
      <c r="A431" s="21"/>
      <c r="C431" s="1"/>
      <c r="D431" s="1"/>
    </row>
    <row r="432" spans="1:4">
      <c r="A432" s="21"/>
      <c r="C432" s="1"/>
      <c r="D432" s="1"/>
    </row>
    <row r="433" spans="1:4">
      <c r="A433" s="21"/>
      <c r="C433" s="1"/>
      <c r="D433" s="1"/>
    </row>
    <row r="434" spans="1:4">
      <c r="A434" s="21"/>
      <c r="C434" s="1"/>
      <c r="D434" s="1"/>
    </row>
    <row r="435" spans="1:4">
      <c r="A435" s="21"/>
      <c r="C435" s="1"/>
      <c r="D435" s="1"/>
    </row>
    <row r="436" spans="1:4">
      <c r="A436" s="21"/>
      <c r="C436" s="1"/>
      <c r="D436" s="1"/>
    </row>
    <row r="437" spans="1:4">
      <c r="A437" s="21"/>
      <c r="C437" s="1"/>
      <c r="D437" s="1"/>
    </row>
    <row r="438" spans="1:4">
      <c r="A438" s="21"/>
      <c r="C438" s="1"/>
      <c r="D438" s="1"/>
    </row>
    <row r="439" spans="1:4">
      <c r="A439" s="21"/>
      <c r="C439" s="1"/>
      <c r="D439" s="1"/>
    </row>
    <row r="440" spans="1:4">
      <c r="A440" s="21"/>
      <c r="C440" s="1"/>
      <c r="D440" s="1"/>
    </row>
    <row r="441" spans="1:4">
      <c r="A441" s="21"/>
      <c r="C441" s="1"/>
      <c r="D441" s="1"/>
    </row>
    <row r="442" spans="1:4">
      <c r="A442" s="21"/>
      <c r="C442" s="1"/>
      <c r="D442" s="1"/>
    </row>
    <row r="443" spans="1:4">
      <c r="A443" s="21"/>
      <c r="C443" s="1"/>
      <c r="D443" s="1"/>
    </row>
    <row r="444" spans="1:4">
      <c r="A444" s="21"/>
      <c r="C444" s="1"/>
      <c r="D444" s="1"/>
    </row>
    <row r="445" spans="1:4">
      <c r="A445" s="21"/>
      <c r="C445" s="1"/>
      <c r="D445" s="1"/>
    </row>
    <row r="446" spans="1:4">
      <c r="A446" s="21"/>
      <c r="C446" s="1"/>
      <c r="D446" s="1"/>
    </row>
    <row r="447" spans="1:4">
      <c r="A447" s="21"/>
      <c r="C447" s="1"/>
      <c r="D447" s="1"/>
    </row>
    <row r="448" spans="1:4">
      <c r="A448" s="21"/>
      <c r="C448" s="1"/>
      <c r="D448" s="1"/>
    </row>
    <row r="449" spans="1:4">
      <c r="A449" s="21"/>
      <c r="C449" s="1"/>
      <c r="D449" s="1"/>
    </row>
    <row r="450" spans="1:4">
      <c r="A450" s="21"/>
      <c r="C450" s="1"/>
      <c r="D450" s="1"/>
    </row>
    <row r="451" spans="1:4">
      <c r="A451" s="21"/>
      <c r="C451" s="1"/>
      <c r="D451" s="1"/>
    </row>
    <row r="452" spans="1:4">
      <c r="A452" s="21"/>
      <c r="C452" s="1"/>
      <c r="D452" s="1"/>
    </row>
    <row r="453" spans="1:4">
      <c r="A453" s="21"/>
      <c r="C453" s="1"/>
      <c r="D453" s="1"/>
    </row>
    <row r="454" spans="1:4">
      <c r="A454" s="21"/>
      <c r="C454" s="1"/>
      <c r="D454" s="1"/>
    </row>
    <row r="455" spans="1:4">
      <c r="A455" s="21"/>
      <c r="C455" s="1"/>
      <c r="D455" s="1"/>
    </row>
    <row r="456" spans="1:4">
      <c r="A456" s="21"/>
      <c r="C456" s="1"/>
      <c r="D456" s="1"/>
    </row>
    <row r="457" spans="1:4">
      <c r="A457" s="21"/>
      <c r="C457" s="1"/>
      <c r="D457" s="1"/>
    </row>
    <row r="458" spans="1:4">
      <c r="A458" s="21"/>
      <c r="C458" s="1"/>
      <c r="D458" s="1"/>
    </row>
    <row r="459" spans="1:4">
      <c r="A459" s="21"/>
      <c r="C459" s="1"/>
      <c r="D459" s="1"/>
    </row>
    <row r="460" spans="1:4">
      <c r="A460" s="21"/>
      <c r="C460" s="1"/>
      <c r="D460" s="1"/>
    </row>
    <row r="461" spans="1:4">
      <c r="A461" s="21"/>
      <c r="C461" s="1"/>
      <c r="D461" s="1"/>
    </row>
    <row r="462" spans="1:4">
      <c r="A462" s="21"/>
      <c r="C462" s="1"/>
      <c r="D462" s="1"/>
    </row>
    <row r="463" spans="1:4">
      <c r="A463" s="21"/>
      <c r="C463" s="1"/>
      <c r="D463" s="1"/>
    </row>
    <row r="464" spans="1:4">
      <c r="A464" s="21"/>
      <c r="C464" s="1"/>
      <c r="D464" s="1"/>
    </row>
    <row r="465" spans="1:4">
      <c r="A465" s="21"/>
      <c r="C465" s="1"/>
      <c r="D465" s="1"/>
    </row>
    <row r="466" spans="1:4">
      <c r="A466" s="21"/>
      <c r="C466" s="1"/>
      <c r="D466" s="1"/>
    </row>
    <row r="467" spans="1:4">
      <c r="A467" s="21"/>
      <c r="C467" s="1"/>
      <c r="D467" s="1"/>
    </row>
    <row r="468" spans="1:4">
      <c r="A468" s="21"/>
      <c r="C468" s="1"/>
      <c r="D468" s="1"/>
    </row>
    <row r="469" spans="1:4">
      <c r="A469" s="21"/>
      <c r="C469" s="1"/>
      <c r="D469" s="1"/>
    </row>
    <row r="470" spans="1:4">
      <c r="A470" s="21"/>
      <c r="C470" s="1"/>
      <c r="D470" s="1"/>
    </row>
    <row r="471" spans="1:4">
      <c r="A471" s="21"/>
    </row>
    <row r="472" spans="1:4">
      <c r="A472" s="21"/>
    </row>
    <row r="473" spans="1:4">
      <c r="A473" s="21"/>
    </row>
    <row r="474" spans="1:4">
      <c r="A474" s="21"/>
    </row>
    <row r="475" spans="1:4">
      <c r="A475" s="21"/>
    </row>
    <row r="476" spans="1:4">
      <c r="A476" s="21"/>
    </row>
    <row r="477" spans="1:4">
      <c r="A477" s="21"/>
    </row>
    <row r="478" spans="1:4">
      <c r="A478" s="21"/>
    </row>
  </sheetData>
  <autoFilter ref="A3:N3" xr:uid="{81B2C147-8F32-411D-9F9D-CB1E1A269600}"/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LIST OF SQL SERVERS</vt:lpstr>
      <vt:lpstr>RDS_INFO</vt:lpstr>
      <vt:lpstr>AWS RDS Settings</vt:lpstr>
      <vt:lpstr>OpenPorts</vt:lpstr>
      <vt:lpstr>IP list</vt:lpstr>
      <vt:lpstr>Queue</vt:lpstr>
      <vt:lpstr>INDEXES</vt:lpstr>
      <vt:lpstr>MODULES</vt:lpstr>
      <vt:lpstr>Projects_-Jobs</vt:lpstr>
      <vt:lpstr>ArchiveTab</vt:lpstr>
      <vt:lpstr>Timming</vt:lpstr>
      <vt:lpstr>TimingRDS</vt:lpstr>
      <vt:lpstr>AWS_resorces</vt:lpstr>
      <vt:lpstr>CloudProjects</vt:lpstr>
      <vt:lpstr>Stucture_Billing_tabs_GCP</vt:lpstr>
      <vt:lpstr>CreatingTabsBQ</vt:lpstr>
      <vt:lpstr>GIRSAOT</vt:lpstr>
      <vt:lpstr>CMD_CL</vt:lpstr>
      <vt:lpstr>PowerShell</vt:lpstr>
      <vt:lpstr>to_repl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Merpert</dc:creator>
  <cp:lastModifiedBy>Yael Merpert</cp:lastModifiedBy>
  <dcterms:created xsi:type="dcterms:W3CDTF">2024-05-26T08:52:55Z</dcterms:created>
  <dcterms:modified xsi:type="dcterms:W3CDTF">2026-01-26T07:51:00Z</dcterms:modified>
</cp:coreProperties>
</file>